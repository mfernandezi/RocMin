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UEBD_AllRig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<sst xmlns="http://schemas.openxmlformats.org/spreadsheetml/2006/main" count="13387" uniqueCount="154">
  <si>
    <t>RigName</t>
  </si>
  <si>
    <t>RigSerialNumber</t>
  </si>
  <si>
    <t>Status</t>
  </si>
  <si>
    <t>DelayData</t>
  </si>
  <si>
    <t>Time</t>
  </si>
  <si>
    <t>EndTime</t>
  </si>
  <si>
    <t>ShiftName</t>
  </si>
  <si>
    <t>WorkDayStarted</t>
  </si>
  <si>
    <t>HourStarted_v12Hours</t>
  </si>
  <si>
    <t>HourStarted_v24Hours</t>
  </si>
  <si>
    <t>DrillPlan</t>
  </si>
  <si>
    <t>Operator</t>
  </si>
  <si>
    <t>STB</t>
  </si>
  <si>
    <t>AutoFunction</t>
  </si>
  <si>
    <t>Duration</t>
  </si>
  <si>
    <t>CodeName</t>
  </si>
  <si>
    <t>ShortCode</t>
  </si>
  <si>
    <t>OnlyCodeNumber</t>
  </si>
  <si>
    <t>OnlyCodeName</t>
  </si>
  <si>
    <t>PlannedCodeName</t>
  </si>
  <si>
    <t>PF-07</t>
  </si>
  <si>
    <t>PF-22</t>
  </si>
  <si>
    <t>PF-23</t>
  </si>
  <si>
    <t>PF-21</t>
  </si>
  <si>
    <t>PF-26</t>
  </si>
  <si>
    <t>PF-24</t>
  </si>
  <si>
    <t>PF-25</t>
  </si>
  <si>
    <t>8999804000</t>
  </si>
  <si>
    <t>8999801450</t>
  </si>
  <si>
    <t>8999801530</t>
  </si>
  <si>
    <t>8999801320</t>
  </si>
  <si>
    <t>8999850070</t>
  </si>
  <si>
    <t>8999801700</t>
  </si>
  <si>
    <t>8999801690</t>
  </si>
  <si>
    <t>Parked</t>
  </si>
  <si>
    <t>DelayCode</t>
  </si>
  <si>
    <t>Drilling</t>
  </si>
  <si>
    <t>Positioning/Setup</t>
  </si>
  <si>
    <t>Drill Mode</t>
  </si>
  <si>
    <t>Tramming/Propel</t>
  </si>
  <si>
    <t>419_Mant_No_Program</t>
  </si>
  <si>
    <t>246_Cambio_Turno</t>
  </si>
  <si>
    <t>282_Inter_Otros_Equ</t>
  </si>
  <si>
    <t>223_Sin_Senal_GPS</t>
  </si>
  <si>
    <t>283_Cambio_tricono</t>
  </si>
  <si>
    <t>212_Traslado</t>
  </si>
  <si>
    <t>244_Colacion_Cabina</t>
  </si>
  <si>
    <t>248_Traslado_Colaci</t>
  </si>
  <si>
    <t>609_Cola_sin_relev</t>
  </si>
  <si>
    <t>276_SN_Marca_Perfor</t>
  </si>
  <si>
    <t>Turno A</t>
  </si>
  <si>
    <t>2026-01-11</t>
  </si>
  <si>
    <t>MAF11-W-3155-22</t>
  </si>
  <si>
    <t>No Data</t>
  </si>
  <si>
    <t>MAF09-SE-2825-01</t>
  </si>
  <si>
    <t>MAF09-SE-2840-15</t>
  </si>
  <si>
    <t>MAF09-SE-2840-13</t>
  </si>
  <si>
    <t>Sergio_Bravo_M.</t>
  </si>
  <si>
    <t>None</t>
  </si>
  <si>
    <t>Claudio_Maldonado_T</t>
  </si>
  <si>
    <t>Luis_Oyarzun_V.</t>
  </si>
  <si>
    <t>Cristian_Aguilera_B</t>
  </si>
  <si>
    <t>Iselda_Bugueno</t>
  </si>
  <si>
    <t>Alex_Pereira_P.</t>
  </si>
  <si>
    <t>Mariole_Rivero</t>
  </si>
  <si>
    <t>Emilio_Ferreira_V.</t>
  </si>
  <si>
    <t>Misael_Tirado_P.</t>
  </si>
  <si>
    <t>Lino_Alamos_R.</t>
  </si>
  <si>
    <t>Rodrigo Vega Vega</t>
  </si>
  <si>
    <t>STB State Local Manual</t>
  </si>
  <si>
    <t>STB State Remote Switched</t>
  </si>
  <si>
    <t>STB State Remote Allocated</t>
  </si>
  <si>
    <t>STB State E-Stop</t>
  </si>
  <si>
    <t>STB State Remote Autonomous</t>
  </si>
  <si>
    <t>Manual</t>
  </si>
  <si>
    <t>AutoDelevel</t>
  </si>
  <si>
    <t>AutoLevel</t>
  </si>
  <si>
    <t>AutoDrill</t>
  </si>
  <si>
    <t>315_No_requerido</t>
  </si>
  <si>
    <t>106_Efectivo_Perforando</t>
  </si>
  <si>
    <t>203_Demora_Posicion</t>
  </si>
  <si>
    <t>107_Efectivo_Posicionandose</t>
  </si>
  <si>
    <t>Reserva</t>
  </si>
  <si>
    <t>Mantencion</t>
  </si>
  <si>
    <t>Demora</t>
  </si>
  <si>
    <t>Efectivo</t>
  </si>
  <si>
    <t>315</t>
  </si>
  <si>
    <t>419</t>
  </si>
  <si>
    <t>246</t>
  </si>
  <si>
    <t>282</t>
  </si>
  <si>
    <t>223</t>
  </si>
  <si>
    <t>106</t>
  </si>
  <si>
    <t>203</t>
  </si>
  <si>
    <t>107</t>
  </si>
  <si>
    <t>283</t>
  </si>
  <si>
    <t>212</t>
  </si>
  <si>
    <t>244</t>
  </si>
  <si>
    <t>248</t>
  </si>
  <si>
    <t>609</t>
  </si>
  <si>
    <t>276</t>
  </si>
  <si>
    <t>No_requerido</t>
  </si>
  <si>
    <t>Mant_No_Program</t>
  </si>
  <si>
    <t>Cambio_Turno</t>
  </si>
  <si>
    <t>Inter_Otros_Equ</t>
  </si>
  <si>
    <t>Sin_Senal_GPS</t>
  </si>
  <si>
    <t>Efectivo_Perforando</t>
  </si>
  <si>
    <t>Demora_Posicion</t>
  </si>
  <si>
    <t>Efectivo_Posicionandose</t>
  </si>
  <si>
    <t>Cambio_tricono</t>
  </si>
  <si>
    <t>Traslado</t>
  </si>
  <si>
    <t>Colacion_Cabina</t>
  </si>
  <si>
    <t>Traslado_Colaci</t>
  </si>
  <si>
    <t>Cola_sin_relev</t>
  </si>
  <si>
    <t>SN_Marca_Perfor</t>
  </si>
  <si>
    <t>No Asignado</t>
  </si>
  <si>
    <t>No Programada</t>
  </si>
  <si>
    <t>Programada</t>
  </si>
  <si>
    <t>Reporte DispUEBD_AllRigs</t>
  </si>
  <si>
    <t>fecha inicio</t>
  </si>
  <si>
    <t>fecha fin</t>
  </si>
  <si>
    <t>Horas total</t>
  </si>
  <si>
    <t>Efectivo PF</t>
  </si>
  <si>
    <t>Efectivo Total</t>
  </si>
  <si>
    <t>Mantención Progamada</t>
  </si>
  <si>
    <t>Mantención No Progamada</t>
  </si>
  <si>
    <t>Demora Programada</t>
  </si>
  <si>
    <t>Demora No Programada</t>
  </si>
  <si>
    <t>Sin patio</t>
  </si>
  <si>
    <t>DISP (%)</t>
  </si>
  <si>
    <t>DISP Autonomia (%)</t>
  </si>
  <si>
    <t>UEBD (%)</t>
  </si>
  <si>
    <t>UEBD ajustada (%)</t>
  </si>
  <si>
    <t>Imprevisto (Horas)</t>
  </si>
  <si>
    <t>N° Imprevistos</t>
  </si>
  <si>
    <t>MTBF (Horas)</t>
  </si>
  <si>
    <t>MTTR (Horas)</t>
  </si>
  <si>
    <t>Pozos</t>
  </si>
  <si>
    <t>Metros</t>
  </si>
  <si>
    <t>Rendimiento ef (m/h)</t>
  </si>
  <si>
    <t>Rendimiento ASARCO (m/h)</t>
  </si>
  <si>
    <t>Promedio penetración (m/h)</t>
  </si>
  <si>
    <t>Promedio Penetración &lt; 3 mts (m/h)</t>
  </si>
  <si>
    <t>Promedio Penetración &gt; 3 mts (m/h)</t>
  </si>
  <si>
    <t>Promedio Dureza (MPa)</t>
  </si>
  <si>
    <t>Promedio Dureza &lt; 3 mts (MPa)</t>
  </si>
  <si>
    <t>Promedio Dureza &gt; 3 mts (MPa)</t>
  </si>
  <si>
    <t>Promedio PullDown (klbf)</t>
  </si>
  <si>
    <t>Promedio PullDown &lt; 3 mts (klbf)</t>
  </si>
  <si>
    <t>Promedio PullDown &gt; 3 mts (klbf)</t>
  </si>
  <si>
    <t>Promedio RPM (RPM)</t>
  </si>
  <si>
    <t>Promedio RPM &lt; 3 mts (RPM)</t>
  </si>
  <si>
    <t>Promedio RPM &gt; 3 mts (RPM)</t>
  </si>
  <si>
    <t>Pozos omitidos por largo o tiempo</t>
  </si>
  <si>
    <t>Pozos omitidos por dureza</t>
  </si>
</sst>
</file>

<file path=xl/styles.xml><?xml version="1.0" encoding="utf-8"?>
<styleSheet xmlns="http://schemas.openxmlformats.org/spreadsheetml/2006/main">
  <numFmts count="5">
    <numFmt numFmtId="164" formatCode="YYYY-MM-DD HH:MM:SS"/>
    <numFmt numFmtId="165" formatCode="dd/mm/yyyy hh:mm:ss"/>
    <numFmt numFmtId="166" formatCode="0.0"/>
    <numFmt numFmtId="167" formatCode="0.0%"/>
    <numFmt numFmtId="168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2C"/>
        <bgColor indexed="64"/>
      </patternFill>
    </fill>
    <fill>
      <patternFill patternType="solid">
        <fgColor rgb="FF42556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1" fillId="3" borderId="2" xfId="0" applyFont="1" applyFill="1" applyBorder="1" applyAlignment="1">
      <alignment horizontal="center" vertical="center"/>
    </xf>
    <xf numFmtId="167" fontId="0" fillId="0" borderId="1" xfId="0" applyNumberFormat="1" applyBorder="1"/>
    <xf numFmtId="1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80"/>
  <sheetViews>
    <sheetView tabSelected="1" workbookViewId="0"/>
  </sheetViews>
  <sheetFormatPr defaultRowHeight="15"/>
  <cols>
    <col min="1" max="1" width="7.7109375" customWidth="1"/>
    <col min="2" max="2" width="15.7109375" customWidth="1"/>
    <col min="3" max="3" width="17.7109375" customWidth="1"/>
    <col min="4" max="4" width="19.7109375" customWidth="1"/>
    <col min="5" max="5" width="29.7109375" customWidth="1"/>
    <col min="6" max="6" width="29.7109375" customWidth="1"/>
    <col min="7" max="7" width="9.7109375" customWidth="1"/>
    <col min="8" max="8" width="14.7109375" customWidth="1"/>
    <col min="9" max="9" width="20.7109375" customWidth="1"/>
    <col min="10" max="10" width="20.7109375" customWidth="1"/>
    <col min="11" max="11" width="16.7109375" customWidth="1"/>
    <col min="12" max="12" width="19.7109375" customWidth="1"/>
    <col min="13" max="13" width="27.7109375" customWidth="1"/>
    <col min="14" max="14" width="12.7109375" customWidth="1"/>
    <col min="15" max="15" width="8.7109375" customWidth="1"/>
    <col min="16" max="16" width="27.7109375" customWidth="1"/>
    <col min="17" max="17" width="10.7109375" customWidth="1"/>
    <col min="18" max="18" width="14.7109375" customWidth="1"/>
    <col min="19" max="19" width="23.7109375" customWidth="1"/>
    <col min="20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27</v>
      </c>
      <c r="C2" t="s">
        <v>34</v>
      </c>
      <c r="E2" s="2">
        <v>46033.875</v>
      </c>
      <c r="F2" s="2">
        <v>46033.88267361111</v>
      </c>
      <c r="G2" t="s">
        <v>50</v>
      </c>
      <c r="H2" t="s">
        <v>51</v>
      </c>
      <c r="I2">
        <v>9</v>
      </c>
      <c r="J2">
        <v>21</v>
      </c>
      <c r="K2" t="s">
        <v>52</v>
      </c>
      <c r="L2" t="s">
        <v>57</v>
      </c>
      <c r="O2">
        <v>663</v>
      </c>
      <c r="P2" t="s">
        <v>78</v>
      </c>
      <c r="Q2" t="s">
        <v>82</v>
      </c>
      <c r="R2" t="s">
        <v>86</v>
      </c>
      <c r="S2" t="s">
        <v>100</v>
      </c>
      <c r="T2" t="s">
        <v>114</v>
      </c>
    </row>
    <row r="3" spans="1:20">
      <c r="A3" t="s">
        <v>21</v>
      </c>
      <c r="B3" t="s">
        <v>28</v>
      </c>
      <c r="C3" t="s">
        <v>35</v>
      </c>
      <c r="D3" t="s">
        <v>40</v>
      </c>
      <c r="E3" s="2">
        <v>46033.875</v>
      </c>
      <c r="F3" s="2">
        <v>46033.91666666666</v>
      </c>
      <c r="G3" t="s">
        <v>50</v>
      </c>
      <c r="H3" t="s">
        <v>51</v>
      </c>
      <c r="I3">
        <v>9</v>
      </c>
      <c r="J3">
        <v>21</v>
      </c>
      <c r="K3" t="s">
        <v>53</v>
      </c>
      <c r="L3" t="s">
        <v>58</v>
      </c>
      <c r="M3" t="s">
        <v>69</v>
      </c>
      <c r="N3" t="s">
        <v>74</v>
      </c>
      <c r="O3">
        <v>3600</v>
      </c>
      <c r="P3" t="s">
        <v>40</v>
      </c>
      <c r="Q3" t="s">
        <v>83</v>
      </c>
      <c r="R3" t="s">
        <v>87</v>
      </c>
      <c r="S3" t="s">
        <v>101</v>
      </c>
      <c r="T3" t="s">
        <v>115</v>
      </c>
    </row>
    <row r="4" spans="1:20">
      <c r="A4" t="s">
        <v>22</v>
      </c>
      <c r="B4" t="s">
        <v>29</v>
      </c>
      <c r="C4" t="s">
        <v>35</v>
      </c>
      <c r="D4" t="s">
        <v>41</v>
      </c>
      <c r="E4" s="2">
        <v>46033.875</v>
      </c>
      <c r="F4" s="2">
        <v>46033.87530092592</v>
      </c>
      <c r="G4" t="s">
        <v>50</v>
      </c>
      <c r="H4" t="s">
        <v>51</v>
      </c>
      <c r="I4">
        <v>9</v>
      </c>
      <c r="J4">
        <v>21</v>
      </c>
      <c r="K4" t="s">
        <v>54</v>
      </c>
      <c r="L4" t="s">
        <v>59</v>
      </c>
      <c r="M4" t="s">
        <v>69</v>
      </c>
      <c r="N4" t="s">
        <v>74</v>
      </c>
      <c r="O4">
        <v>26</v>
      </c>
      <c r="P4" t="s">
        <v>41</v>
      </c>
      <c r="Q4" t="s">
        <v>84</v>
      </c>
      <c r="R4" t="s">
        <v>88</v>
      </c>
      <c r="S4" t="s">
        <v>102</v>
      </c>
      <c r="T4" t="s">
        <v>116</v>
      </c>
    </row>
    <row r="5" spans="1:20">
      <c r="A5" t="s">
        <v>23</v>
      </c>
      <c r="B5" t="s">
        <v>30</v>
      </c>
      <c r="C5" t="s">
        <v>35</v>
      </c>
      <c r="D5" t="s">
        <v>42</v>
      </c>
      <c r="E5" s="2">
        <v>46033.875</v>
      </c>
      <c r="F5" s="2">
        <v>46033.87960648148</v>
      </c>
      <c r="G5" t="s">
        <v>50</v>
      </c>
      <c r="H5" t="s">
        <v>51</v>
      </c>
      <c r="I5">
        <v>9</v>
      </c>
      <c r="J5">
        <v>21</v>
      </c>
      <c r="K5" t="s">
        <v>55</v>
      </c>
      <c r="L5" t="s">
        <v>58</v>
      </c>
      <c r="M5" t="s">
        <v>69</v>
      </c>
      <c r="N5" t="s">
        <v>53</v>
      </c>
      <c r="O5">
        <v>398</v>
      </c>
      <c r="P5" t="s">
        <v>42</v>
      </c>
      <c r="Q5" t="s">
        <v>84</v>
      </c>
      <c r="R5" t="s">
        <v>89</v>
      </c>
      <c r="S5" t="s">
        <v>103</v>
      </c>
      <c r="T5" t="s">
        <v>115</v>
      </c>
    </row>
    <row r="6" spans="1:20">
      <c r="A6" t="s">
        <v>24</v>
      </c>
      <c r="B6" t="s">
        <v>31</v>
      </c>
      <c r="C6" t="s">
        <v>35</v>
      </c>
      <c r="D6" t="s">
        <v>41</v>
      </c>
      <c r="E6" s="2">
        <v>46033.875</v>
      </c>
      <c r="F6" s="2">
        <v>46033.88003472222</v>
      </c>
      <c r="G6" t="s">
        <v>50</v>
      </c>
      <c r="H6" t="s">
        <v>51</v>
      </c>
      <c r="I6">
        <v>9</v>
      </c>
      <c r="J6">
        <v>21</v>
      </c>
      <c r="K6" t="s">
        <v>56</v>
      </c>
      <c r="L6" t="s">
        <v>60</v>
      </c>
      <c r="N6" t="s">
        <v>74</v>
      </c>
      <c r="O6">
        <v>435</v>
      </c>
      <c r="P6" t="s">
        <v>41</v>
      </c>
      <c r="Q6" t="s">
        <v>84</v>
      </c>
      <c r="R6" t="s">
        <v>88</v>
      </c>
      <c r="S6" t="s">
        <v>102</v>
      </c>
      <c r="T6" t="s">
        <v>116</v>
      </c>
    </row>
    <row r="7" spans="1:20">
      <c r="A7" t="s">
        <v>25</v>
      </c>
      <c r="B7" t="s">
        <v>32</v>
      </c>
      <c r="C7" t="s">
        <v>35</v>
      </c>
      <c r="D7" t="s">
        <v>41</v>
      </c>
      <c r="E7" s="2">
        <v>46033.875</v>
      </c>
      <c r="F7" s="2">
        <v>46033.87527777778</v>
      </c>
      <c r="G7" t="s">
        <v>50</v>
      </c>
      <c r="H7" t="s">
        <v>51</v>
      </c>
      <c r="I7">
        <v>9</v>
      </c>
      <c r="J7">
        <v>21</v>
      </c>
      <c r="K7" t="s">
        <v>53</v>
      </c>
      <c r="L7" t="s">
        <v>61</v>
      </c>
      <c r="M7" t="s">
        <v>70</v>
      </c>
      <c r="N7" t="s">
        <v>74</v>
      </c>
      <c r="O7">
        <v>24</v>
      </c>
      <c r="P7" t="s">
        <v>41</v>
      </c>
      <c r="Q7" t="s">
        <v>84</v>
      </c>
      <c r="R7" t="s">
        <v>88</v>
      </c>
      <c r="S7" t="s">
        <v>102</v>
      </c>
      <c r="T7" t="s">
        <v>116</v>
      </c>
    </row>
    <row r="8" spans="1:20">
      <c r="A8" t="s">
        <v>26</v>
      </c>
      <c r="B8" t="s">
        <v>33</v>
      </c>
      <c r="C8" t="s">
        <v>35</v>
      </c>
      <c r="D8" t="s">
        <v>43</v>
      </c>
      <c r="E8" s="2">
        <v>46033.875</v>
      </c>
      <c r="F8" s="2">
        <v>46033.87628472222</v>
      </c>
      <c r="G8" t="s">
        <v>50</v>
      </c>
      <c r="H8" t="s">
        <v>51</v>
      </c>
      <c r="I8">
        <v>9</v>
      </c>
      <c r="J8">
        <v>21</v>
      </c>
      <c r="L8" t="s">
        <v>62</v>
      </c>
      <c r="M8" t="s">
        <v>71</v>
      </c>
      <c r="N8" t="s">
        <v>74</v>
      </c>
      <c r="O8">
        <v>111</v>
      </c>
      <c r="P8" t="s">
        <v>43</v>
      </c>
      <c r="Q8" t="s">
        <v>84</v>
      </c>
      <c r="R8" t="s">
        <v>90</v>
      </c>
      <c r="S8" t="s">
        <v>104</v>
      </c>
      <c r="T8" t="s">
        <v>115</v>
      </c>
    </row>
    <row r="9" spans="1:20">
      <c r="A9" t="s">
        <v>25</v>
      </c>
      <c r="B9" t="s">
        <v>32</v>
      </c>
      <c r="C9" t="s">
        <v>35</v>
      </c>
      <c r="D9" t="s">
        <v>41</v>
      </c>
      <c r="E9" s="2">
        <v>46033.87527777778</v>
      </c>
      <c r="F9" s="2">
        <v>46033.87998842593</v>
      </c>
      <c r="G9" t="s">
        <v>50</v>
      </c>
      <c r="H9" t="s">
        <v>51</v>
      </c>
      <c r="I9">
        <v>9</v>
      </c>
      <c r="J9">
        <v>21</v>
      </c>
      <c r="K9" t="s">
        <v>53</v>
      </c>
      <c r="L9" t="s">
        <v>61</v>
      </c>
      <c r="M9" t="s">
        <v>72</v>
      </c>
      <c r="N9" t="s">
        <v>74</v>
      </c>
      <c r="O9">
        <v>407</v>
      </c>
      <c r="P9" t="s">
        <v>41</v>
      </c>
      <c r="Q9" t="s">
        <v>84</v>
      </c>
      <c r="R9" t="s">
        <v>88</v>
      </c>
      <c r="S9" t="s">
        <v>102</v>
      </c>
      <c r="T9" t="s">
        <v>116</v>
      </c>
    </row>
    <row r="10" spans="1:20">
      <c r="A10" t="s">
        <v>22</v>
      </c>
      <c r="B10" t="s">
        <v>29</v>
      </c>
      <c r="C10" t="s">
        <v>35</v>
      </c>
      <c r="D10" t="s">
        <v>41</v>
      </c>
      <c r="E10" s="2">
        <v>46033.87530092592</v>
      </c>
      <c r="F10" s="2">
        <v>46033.87774305556</v>
      </c>
      <c r="G10" t="s">
        <v>50</v>
      </c>
      <c r="H10" t="s">
        <v>51</v>
      </c>
      <c r="I10">
        <v>9</v>
      </c>
      <c r="J10">
        <v>21</v>
      </c>
      <c r="K10" t="s">
        <v>54</v>
      </c>
      <c r="L10" t="s">
        <v>59</v>
      </c>
      <c r="M10" t="s">
        <v>72</v>
      </c>
      <c r="N10" t="s">
        <v>74</v>
      </c>
      <c r="O10">
        <v>211</v>
      </c>
      <c r="P10" t="s">
        <v>41</v>
      </c>
      <c r="Q10" t="s">
        <v>84</v>
      </c>
      <c r="R10" t="s">
        <v>88</v>
      </c>
      <c r="S10" t="s">
        <v>102</v>
      </c>
      <c r="T10" t="s">
        <v>116</v>
      </c>
    </row>
    <row r="11" spans="1:20">
      <c r="A11" t="s">
        <v>26</v>
      </c>
      <c r="B11" t="s">
        <v>33</v>
      </c>
      <c r="C11" t="s">
        <v>35</v>
      </c>
      <c r="D11" t="s">
        <v>43</v>
      </c>
      <c r="E11" s="2">
        <v>46033.87628472222</v>
      </c>
      <c r="F11" s="2">
        <v>46033.88361111111</v>
      </c>
      <c r="G11" t="s">
        <v>50</v>
      </c>
      <c r="H11" t="s">
        <v>51</v>
      </c>
      <c r="I11">
        <v>9</v>
      </c>
      <c r="J11">
        <v>21</v>
      </c>
      <c r="L11" t="s">
        <v>63</v>
      </c>
      <c r="M11" t="s">
        <v>71</v>
      </c>
      <c r="N11" t="s">
        <v>74</v>
      </c>
      <c r="O11">
        <v>633</v>
      </c>
      <c r="P11" t="s">
        <v>43</v>
      </c>
      <c r="Q11" t="s">
        <v>84</v>
      </c>
      <c r="R11" t="s">
        <v>90</v>
      </c>
      <c r="S11" t="s">
        <v>104</v>
      </c>
      <c r="T11" t="s">
        <v>115</v>
      </c>
    </row>
    <row r="12" spans="1:20">
      <c r="A12" t="s">
        <v>22</v>
      </c>
      <c r="B12" t="s">
        <v>29</v>
      </c>
      <c r="C12" t="s">
        <v>35</v>
      </c>
      <c r="D12" t="s">
        <v>41</v>
      </c>
      <c r="E12" s="2">
        <v>46033.87774305556</v>
      </c>
      <c r="F12" s="2">
        <v>46033.87804398148</v>
      </c>
      <c r="G12" t="s">
        <v>50</v>
      </c>
      <c r="H12" t="s">
        <v>51</v>
      </c>
      <c r="I12">
        <v>9</v>
      </c>
      <c r="J12">
        <v>21</v>
      </c>
      <c r="K12" t="s">
        <v>54</v>
      </c>
      <c r="L12" t="s">
        <v>59</v>
      </c>
      <c r="M12" t="s">
        <v>69</v>
      </c>
      <c r="N12" t="s">
        <v>74</v>
      </c>
      <c r="O12">
        <v>26</v>
      </c>
      <c r="P12" t="s">
        <v>41</v>
      </c>
      <c r="Q12" t="s">
        <v>84</v>
      </c>
      <c r="R12" t="s">
        <v>88</v>
      </c>
      <c r="S12" t="s">
        <v>102</v>
      </c>
      <c r="T12" t="s">
        <v>116</v>
      </c>
    </row>
    <row r="13" spans="1:20">
      <c r="A13" t="s">
        <v>22</v>
      </c>
      <c r="B13" t="s">
        <v>29</v>
      </c>
      <c r="C13" t="s">
        <v>35</v>
      </c>
      <c r="D13" t="s">
        <v>41</v>
      </c>
      <c r="E13" s="2">
        <v>46033.87804398148</v>
      </c>
      <c r="F13" s="2">
        <v>46033.8781712963</v>
      </c>
      <c r="G13" t="s">
        <v>50</v>
      </c>
      <c r="H13" t="s">
        <v>51</v>
      </c>
      <c r="I13">
        <v>9</v>
      </c>
      <c r="J13">
        <v>21</v>
      </c>
      <c r="K13" t="s">
        <v>54</v>
      </c>
      <c r="L13" t="s">
        <v>59</v>
      </c>
      <c r="M13" t="s">
        <v>69</v>
      </c>
      <c r="N13" t="s">
        <v>74</v>
      </c>
      <c r="O13">
        <v>11</v>
      </c>
      <c r="P13" t="s">
        <v>41</v>
      </c>
      <c r="Q13" t="s">
        <v>84</v>
      </c>
      <c r="R13" t="s">
        <v>88</v>
      </c>
      <c r="S13" t="s">
        <v>102</v>
      </c>
      <c r="T13" t="s">
        <v>116</v>
      </c>
    </row>
    <row r="14" spans="1:20">
      <c r="A14" t="s">
        <v>22</v>
      </c>
      <c r="B14" t="s">
        <v>29</v>
      </c>
      <c r="C14" t="s">
        <v>35</v>
      </c>
      <c r="D14" t="s">
        <v>41</v>
      </c>
      <c r="E14" s="2">
        <v>46033.8781712963</v>
      </c>
      <c r="F14" s="2">
        <v>46033.87819444444</v>
      </c>
      <c r="G14" t="s">
        <v>50</v>
      </c>
      <c r="H14" t="s">
        <v>51</v>
      </c>
      <c r="I14">
        <v>9</v>
      </c>
      <c r="J14">
        <v>21</v>
      </c>
      <c r="K14" t="s">
        <v>54</v>
      </c>
      <c r="L14" t="s">
        <v>59</v>
      </c>
      <c r="M14" t="s">
        <v>69</v>
      </c>
      <c r="N14" t="s">
        <v>74</v>
      </c>
      <c r="O14">
        <v>2</v>
      </c>
      <c r="P14" t="s">
        <v>41</v>
      </c>
      <c r="Q14" t="s">
        <v>84</v>
      </c>
      <c r="R14" t="s">
        <v>88</v>
      </c>
      <c r="S14" t="s">
        <v>102</v>
      </c>
      <c r="T14" t="s">
        <v>116</v>
      </c>
    </row>
    <row r="15" spans="1:20">
      <c r="A15" t="s">
        <v>22</v>
      </c>
      <c r="B15" t="s">
        <v>29</v>
      </c>
      <c r="C15" t="s">
        <v>36</v>
      </c>
      <c r="E15" s="2">
        <v>46033.87819444444</v>
      </c>
      <c r="F15" s="2">
        <v>46033.8785300926</v>
      </c>
      <c r="G15" t="s">
        <v>50</v>
      </c>
      <c r="H15" t="s">
        <v>51</v>
      </c>
      <c r="I15">
        <v>9</v>
      </c>
      <c r="J15">
        <v>21</v>
      </c>
      <c r="K15" t="s">
        <v>54</v>
      </c>
      <c r="L15" t="s">
        <v>59</v>
      </c>
      <c r="M15" t="s">
        <v>69</v>
      </c>
      <c r="N15" t="s">
        <v>74</v>
      </c>
      <c r="O15">
        <v>29</v>
      </c>
      <c r="P15" t="s">
        <v>79</v>
      </c>
      <c r="Q15" t="s">
        <v>85</v>
      </c>
      <c r="R15" t="s">
        <v>91</v>
      </c>
      <c r="S15" t="s">
        <v>105</v>
      </c>
      <c r="T15" t="s">
        <v>114</v>
      </c>
    </row>
    <row r="16" spans="1:20">
      <c r="A16" t="s">
        <v>22</v>
      </c>
      <c r="B16" t="s">
        <v>29</v>
      </c>
      <c r="C16" t="s">
        <v>36</v>
      </c>
      <c r="E16" s="2">
        <v>46033.8785300926</v>
      </c>
      <c r="F16" s="2">
        <v>46033.89248842592</v>
      </c>
      <c r="G16" t="s">
        <v>50</v>
      </c>
      <c r="H16" t="s">
        <v>51</v>
      </c>
      <c r="I16">
        <v>9</v>
      </c>
      <c r="J16">
        <v>21</v>
      </c>
      <c r="K16" t="s">
        <v>54</v>
      </c>
      <c r="L16" t="s">
        <v>64</v>
      </c>
      <c r="M16" t="s">
        <v>69</v>
      </c>
      <c r="N16" t="s">
        <v>74</v>
      </c>
      <c r="O16">
        <v>1206</v>
      </c>
      <c r="P16" t="s">
        <v>79</v>
      </c>
      <c r="Q16" t="s">
        <v>85</v>
      </c>
      <c r="R16" t="s">
        <v>91</v>
      </c>
      <c r="S16" t="s">
        <v>105</v>
      </c>
      <c r="T16" t="s">
        <v>114</v>
      </c>
    </row>
    <row r="17" spans="1:20">
      <c r="A17" t="s">
        <v>23</v>
      </c>
      <c r="B17" t="s">
        <v>30</v>
      </c>
      <c r="C17" t="s">
        <v>35</v>
      </c>
      <c r="D17" t="s">
        <v>42</v>
      </c>
      <c r="E17" s="2">
        <v>46033.87960648148</v>
      </c>
      <c r="F17" s="2">
        <v>46033.87961805556</v>
      </c>
      <c r="G17" t="s">
        <v>50</v>
      </c>
      <c r="H17" t="s">
        <v>51</v>
      </c>
      <c r="I17">
        <v>9</v>
      </c>
      <c r="J17">
        <v>21</v>
      </c>
      <c r="K17" t="s">
        <v>55</v>
      </c>
      <c r="L17" t="s">
        <v>58</v>
      </c>
      <c r="M17" t="s">
        <v>69</v>
      </c>
      <c r="N17" t="s">
        <v>53</v>
      </c>
      <c r="O17">
        <v>1</v>
      </c>
      <c r="P17" t="s">
        <v>42</v>
      </c>
      <c r="Q17" t="s">
        <v>84</v>
      </c>
      <c r="R17" t="s">
        <v>89</v>
      </c>
      <c r="S17" t="s">
        <v>103</v>
      </c>
      <c r="T17" t="s">
        <v>115</v>
      </c>
    </row>
    <row r="18" spans="1:20">
      <c r="A18" t="s">
        <v>23</v>
      </c>
      <c r="B18" t="s">
        <v>30</v>
      </c>
      <c r="C18" t="s">
        <v>35</v>
      </c>
      <c r="D18" t="s">
        <v>42</v>
      </c>
      <c r="E18" s="2">
        <v>46033.87961805556</v>
      </c>
      <c r="F18" s="2">
        <v>46033.87965277778</v>
      </c>
      <c r="G18" t="s">
        <v>50</v>
      </c>
      <c r="H18" t="s">
        <v>51</v>
      </c>
      <c r="I18">
        <v>9</v>
      </c>
      <c r="J18">
        <v>21</v>
      </c>
      <c r="K18" t="s">
        <v>55</v>
      </c>
      <c r="L18" t="s">
        <v>58</v>
      </c>
      <c r="M18" t="s">
        <v>72</v>
      </c>
      <c r="N18" t="s">
        <v>53</v>
      </c>
      <c r="O18">
        <v>3</v>
      </c>
      <c r="P18" t="s">
        <v>42</v>
      </c>
      <c r="Q18" t="s">
        <v>84</v>
      </c>
      <c r="R18" t="s">
        <v>89</v>
      </c>
      <c r="S18" t="s">
        <v>103</v>
      </c>
      <c r="T18" t="s">
        <v>115</v>
      </c>
    </row>
    <row r="19" spans="1:20">
      <c r="A19" t="s">
        <v>23</v>
      </c>
      <c r="B19" t="s">
        <v>30</v>
      </c>
      <c r="C19" t="s">
        <v>35</v>
      </c>
      <c r="D19" t="s">
        <v>42</v>
      </c>
      <c r="E19" s="2">
        <v>46033.87965277778</v>
      </c>
      <c r="F19" s="2">
        <v>46033.88023148148</v>
      </c>
      <c r="G19" t="s">
        <v>50</v>
      </c>
      <c r="H19" t="s">
        <v>51</v>
      </c>
      <c r="I19">
        <v>9</v>
      </c>
      <c r="J19">
        <v>21</v>
      </c>
      <c r="K19" t="s">
        <v>55</v>
      </c>
      <c r="L19" t="s">
        <v>58</v>
      </c>
      <c r="M19" t="s">
        <v>69</v>
      </c>
      <c r="N19" t="s">
        <v>53</v>
      </c>
      <c r="O19">
        <v>50</v>
      </c>
      <c r="P19" t="s">
        <v>42</v>
      </c>
      <c r="Q19" t="s">
        <v>84</v>
      </c>
      <c r="R19" t="s">
        <v>89</v>
      </c>
      <c r="S19" t="s">
        <v>103</v>
      </c>
      <c r="T19" t="s">
        <v>115</v>
      </c>
    </row>
    <row r="20" spans="1:20">
      <c r="A20" t="s">
        <v>25</v>
      </c>
      <c r="B20" t="s">
        <v>32</v>
      </c>
      <c r="C20" t="s">
        <v>35</v>
      </c>
      <c r="D20" t="s">
        <v>41</v>
      </c>
      <c r="E20" s="2">
        <v>46033.87998842593</v>
      </c>
      <c r="F20" s="2">
        <v>46033.8819212963</v>
      </c>
      <c r="G20" t="s">
        <v>50</v>
      </c>
      <c r="H20" t="s">
        <v>51</v>
      </c>
      <c r="I20">
        <v>9</v>
      </c>
      <c r="J20">
        <v>21</v>
      </c>
      <c r="K20" t="s">
        <v>53</v>
      </c>
      <c r="L20" t="s">
        <v>61</v>
      </c>
      <c r="M20" t="s">
        <v>69</v>
      </c>
      <c r="N20" t="s">
        <v>74</v>
      </c>
      <c r="O20">
        <v>167</v>
      </c>
      <c r="P20" t="s">
        <v>41</v>
      </c>
      <c r="Q20" t="s">
        <v>84</v>
      </c>
      <c r="R20" t="s">
        <v>88</v>
      </c>
      <c r="S20" t="s">
        <v>102</v>
      </c>
      <c r="T20" t="s">
        <v>116</v>
      </c>
    </row>
    <row r="21" spans="1:20">
      <c r="A21" t="s">
        <v>24</v>
      </c>
      <c r="B21" t="s">
        <v>31</v>
      </c>
      <c r="C21" t="s">
        <v>35</v>
      </c>
      <c r="D21" t="s">
        <v>41</v>
      </c>
      <c r="E21" s="2">
        <v>46033.88003472222</v>
      </c>
      <c r="F21" s="2">
        <v>46033.88303240741</v>
      </c>
      <c r="G21" t="s">
        <v>50</v>
      </c>
      <c r="H21" t="s">
        <v>51</v>
      </c>
      <c r="I21">
        <v>9</v>
      </c>
      <c r="J21">
        <v>21</v>
      </c>
      <c r="K21" t="s">
        <v>56</v>
      </c>
      <c r="L21" t="s">
        <v>60</v>
      </c>
      <c r="N21" t="s">
        <v>74</v>
      </c>
      <c r="O21">
        <v>259</v>
      </c>
      <c r="P21" t="s">
        <v>41</v>
      </c>
      <c r="Q21" t="s">
        <v>84</v>
      </c>
      <c r="R21" t="s">
        <v>88</v>
      </c>
      <c r="S21" t="s">
        <v>102</v>
      </c>
      <c r="T21" t="s">
        <v>116</v>
      </c>
    </row>
    <row r="22" spans="1:20">
      <c r="A22" t="s">
        <v>23</v>
      </c>
      <c r="B22" t="s">
        <v>30</v>
      </c>
      <c r="C22" t="s">
        <v>35</v>
      </c>
      <c r="D22" t="s">
        <v>42</v>
      </c>
      <c r="E22" s="2">
        <v>46033.88023148148</v>
      </c>
      <c r="F22" s="2">
        <v>46033.88050925926</v>
      </c>
      <c r="G22" t="s">
        <v>50</v>
      </c>
      <c r="H22" t="s">
        <v>51</v>
      </c>
      <c r="I22">
        <v>9</v>
      </c>
      <c r="J22">
        <v>21</v>
      </c>
      <c r="K22" t="s">
        <v>55</v>
      </c>
      <c r="L22" t="s">
        <v>65</v>
      </c>
      <c r="M22" t="s">
        <v>69</v>
      </c>
      <c r="N22" t="s">
        <v>53</v>
      </c>
      <c r="O22">
        <v>24</v>
      </c>
      <c r="P22" t="s">
        <v>42</v>
      </c>
      <c r="Q22" t="s">
        <v>84</v>
      </c>
      <c r="R22" t="s">
        <v>89</v>
      </c>
      <c r="S22" t="s">
        <v>103</v>
      </c>
      <c r="T22" t="s">
        <v>115</v>
      </c>
    </row>
    <row r="23" spans="1:20">
      <c r="A23" t="s">
        <v>23</v>
      </c>
      <c r="B23" t="s">
        <v>30</v>
      </c>
      <c r="C23" t="s">
        <v>35</v>
      </c>
      <c r="D23" t="s">
        <v>42</v>
      </c>
      <c r="E23" s="2">
        <v>46033.88050925926</v>
      </c>
      <c r="F23" s="2">
        <v>46033.88061342593</v>
      </c>
      <c r="G23" t="s">
        <v>50</v>
      </c>
      <c r="H23" t="s">
        <v>51</v>
      </c>
      <c r="I23">
        <v>9</v>
      </c>
      <c r="J23">
        <v>21</v>
      </c>
      <c r="K23" t="s">
        <v>55</v>
      </c>
      <c r="L23" t="s">
        <v>65</v>
      </c>
      <c r="M23" t="s">
        <v>69</v>
      </c>
      <c r="N23" t="s">
        <v>53</v>
      </c>
      <c r="O23">
        <v>9</v>
      </c>
      <c r="P23" t="s">
        <v>42</v>
      </c>
      <c r="Q23" t="s">
        <v>84</v>
      </c>
      <c r="R23" t="s">
        <v>89</v>
      </c>
      <c r="S23" t="s">
        <v>103</v>
      </c>
      <c r="T23" t="s">
        <v>115</v>
      </c>
    </row>
    <row r="24" spans="1:20">
      <c r="A24" t="s">
        <v>23</v>
      </c>
      <c r="B24" t="s">
        <v>30</v>
      </c>
      <c r="C24" t="s">
        <v>35</v>
      </c>
      <c r="D24" t="s">
        <v>42</v>
      </c>
      <c r="E24" s="2">
        <v>46033.88061342593</v>
      </c>
      <c r="F24" s="2">
        <v>46033.88572916666</v>
      </c>
      <c r="G24" t="s">
        <v>50</v>
      </c>
      <c r="H24" t="s">
        <v>51</v>
      </c>
      <c r="I24">
        <v>9</v>
      </c>
      <c r="J24">
        <v>21</v>
      </c>
      <c r="K24" t="s">
        <v>55</v>
      </c>
      <c r="L24" t="s">
        <v>65</v>
      </c>
      <c r="M24" t="s">
        <v>69</v>
      </c>
      <c r="N24" t="s">
        <v>53</v>
      </c>
      <c r="O24">
        <v>442</v>
      </c>
      <c r="P24" t="s">
        <v>42</v>
      </c>
      <c r="Q24" t="s">
        <v>84</v>
      </c>
      <c r="R24" t="s">
        <v>89</v>
      </c>
      <c r="S24" t="s">
        <v>103</v>
      </c>
      <c r="T24" t="s">
        <v>115</v>
      </c>
    </row>
    <row r="25" spans="1:20">
      <c r="A25" t="s">
        <v>25</v>
      </c>
      <c r="B25" t="s">
        <v>32</v>
      </c>
      <c r="C25" t="s">
        <v>35</v>
      </c>
      <c r="D25" t="s">
        <v>41</v>
      </c>
      <c r="E25" s="2">
        <v>46033.8819212963</v>
      </c>
      <c r="F25" s="2">
        <v>46033.8822337963</v>
      </c>
      <c r="G25" t="s">
        <v>50</v>
      </c>
      <c r="H25" t="s">
        <v>51</v>
      </c>
      <c r="I25">
        <v>9</v>
      </c>
      <c r="J25">
        <v>21</v>
      </c>
      <c r="K25" t="s">
        <v>53</v>
      </c>
      <c r="L25" t="s">
        <v>61</v>
      </c>
      <c r="M25" t="s">
        <v>69</v>
      </c>
      <c r="N25" t="s">
        <v>74</v>
      </c>
      <c r="O25">
        <v>27</v>
      </c>
      <c r="P25" t="s">
        <v>41</v>
      </c>
      <c r="Q25" t="s">
        <v>84</v>
      </c>
      <c r="R25" t="s">
        <v>88</v>
      </c>
      <c r="S25" t="s">
        <v>102</v>
      </c>
      <c r="T25" t="s">
        <v>116</v>
      </c>
    </row>
    <row r="26" spans="1:20">
      <c r="A26" t="s">
        <v>25</v>
      </c>
      <c r="B26" t="s">
        <v>32</v>
      </c>
      <c r="C26" t="s">
        <v>35</v>
      </c>
      <c r="D26" t="s">
        <v>41</v>
      </c>
      <c r="E26" s="2">
        <v>46033.8822337963</v>
      </c>
      <c r="F26" s="2">
        <v>46033.88473379629</v>
      </c>
      <c r="G26" t="s">
        <v>50</v>
      </c>
      <c r="H26" t="s">
        <v>51</v>
      </c>
      <c r="I26">
        <v>9</v>
      </c>
      <c r="J26">
        <v>21</v>
      </c>
      <c r="K26" t="s">
        <v>53</v>
      </c>
      <c r="L26" t="s">
        <v>61</v>
      </c>
      <c r="M26" t="s">
        <v>69</v>
      </c>
      <c r="N26" t="s">
        <v>74</v>
      </c>
      <c r="O26">
        <v>216</v>
      </c>
      <c r="P26" t="s">
        <v>41</v>
      </c>
      <c r="Q26" t="s">
        <v>84</v>
      </c>
      <c r="R26" t="s">
        <v>88</v>
      </c>
      <c r="S26" t="s">
        <v>102</v>
      </c>
      <c r="T26" t="s">
        <v>116</v>
      </c>
    </row>
    <row r="27" spans="1:20">
      <c r="A27" t="s">
        <v>20</v>
      </c>
      <c r="B27" t="s">
        <v>27</v>
      </c>
      <c r="C27" t="s">
        <v>37</v>
      </c>
      <c r="E27" s="2">
        <v>46033.88267361111</v>
      </c>
      <c r="F27" s="2">
        <v>46033.88335648148</v>
      </c>
      <c r="G27" t="s">
        <v>50</v>
      </c>
      <c r="H27" t="s">
        <v>51</v>
      </c>
      <c r="I27">
        <v>9</v>
      </c>
      <c r="J27">
        <v>21</v>
      </c>
      <c r="K27" t="s">
        <v>52</v>
      </c>
      <c r="L27" t="s">
        <v>57</v>
      </c>
      <c r="O27">
        <v>59</v>
      </c>
      <c r="P27" t="s">
        <v>80</v>
      </c>
      <c r="Q27" t="s">
        <v>84</v>
      </c>
      <c r="R27" t="s">
        <v>92</v>
      </c>
      <c r="S27" t="s">
        <v>106</v>
      </c>
      <c r="T27" t="s">
        <v>115</v>
      </c>
    </row>
    <row r="28" spans="1:20">
      <c r="A28" t="s">
        <v>24</v>
      </c>
      <c r="B28" t="s">
        <v>31</v>
      </c>
      <c r="C28" t="s">
        <v>35</v>
      </c>
      <c r="D28" t="s">
        <v>41</v>
      </c>
      <c r="E28" s="2">
        <v>46033.88303240741</v>
      </c>
      <c r="F28" s="2">
        <v>46033.8834375</v>
      </c>
      <c r="G28" t="s">
        <v>50</v>
      </c>
      <c r="H28" t="s">
        <v>51</v>
      </c>
      <c r="I28">
        <v>9</v>
      </c>
      <c r="J28">
        <v>21</v>
      </c>
      <c r="K28" t="s">
        <v>56</v>
      </c>
      <c r="L28" t="s">
        <v>60</v>
      </c>
      <c r="N28" t="s">
        <v>74</v>
      </c>
      <c r="O28">
        <v>35</v>
      </c>
      <c r="P28" t="s">
        <v>41</v>
      </c>
      <c r="Q28" t="s">
        <v>84</v>
      </c>
      <c r="R28" t="s">
        <v>88</v>
      </c>
      <c r="S28" t="s">
        <v>102</v>
      </c>
      <c r="T28" t="s">
        <v>116</v>
      </c>
    </row>
    <row r="29" spans="1:20">
      <c r="A29" t="s">
        <v>20</v>
      </c>
      <c r="B29" t="s">
        <v>27</v>
      </c>
      <c r="C29" t="s">
        <v>37</v>
      </c>
      <c r="E29" s="2">
        <v>46033.88335648148</v>
      </c>
      <c r="F29" s="2">
        <v>46033.88512731482</v>
      </c>
      <c r="G29" t="s">
        <v>50</v>
      </c>
      <c r="H29" t="s">
        <v>51</v>
      </c>
      <c r="I29">
        <v>9</v>
      </c>
      <c r="J29">
        <v>21</v>
      </c>
      <c r="K29" t="s">
        <v>52</v>
      </c>
      <c r="L29" t="s">
        <v>66</v>
      </c>
      <c r="O29">
        <v>153</v>
      </c>
      <c r="P29" t="s">
        <v>80</v>
      </c>
      <c r="Q29" t="s">
        <v>84</v>
      </c>
      <c r="R29" t="s">
        <v>92</v>
      </c>
      <c r="S29" t="s">
        <v>106</v>
      </c>
      <c r="T29" t="s">
        <v>115</v>
      </c>
    </row>
    <row r="30" spans="1:20">
      <c r="A30" t="s">
        <v>24</v>
      </c>
      <c r="B30" t="s">
        <v>31</v>
      </c>
      <c r="C30" t="s">
        <v>35</v>
      </c>
      <c r="D30" t="s">
        <v>41</v>
      </c>
      <c r="E30" s="2">
        <v>46033.8834375</v>
      </c>
      <c r="F30" s="2">
        <v>46033.88353009259</v>
      </c>
      <c r="G30" t="s">
        <v>50</v>
      </c>
      <c r="H30" t="s">
        <v>51</v>
      </c>
      <c r="I30">
        <v>9</v>
      </c>
      <c r="J30">
        <v>21</v>
      </c>
      <c r="K30" t="s">
        <v>56</v>
      </c>
      <c r="L30" t="s">
        <v>60</v>
      </c>
      <c r="N30" t="s">
        <v>74</v>
      </c>
      <c r="O30">
        <v>8</v>
      </c>
      <c r="P30" t="s">
        <v>41</v>
      </c>
      <c r="Q30" t="s">
        <v>84</v>
      </c>
      <c r="R30" t="s">
        <v>88</v>
      </c>
      <c r="S30" t="s">
        <v>102</v>
      </c>
      <c r="T30" t="s">
        <v>116</v>
      </c>
    </row>
    <row r="31" spans="1:20">
      <c r="A31" t="s">
        <v>24</v>
      </c>
      <c r="B31" t="s">
        <v>31</v>
      </c>
      <c r="C31" t="s">
        <v>36</v>
      </c>
      <c r="E31" s="2">
        <v>46033.88353009259</v>
      </c>
      <c r="F31" s="2">
        <v>46033.88359953704</v>
      </c>
      <c r="G31" t="s">
        <v>50</v>
      </c>
      <c r="H31" t="s">
        <v>51</v>
      </c>
      <c r="I31">
        <v>9</v>
      </c>
      <c r="J31">
        <v>21</v>
      </c>
      <c r="K31" t="s">
        <v>56</v>
      </c>
      <c r="L31" t="s">
        <v>60</v>
      </c>
      <c r="N31" t="s">
        <v>74</v>
      </c>
      <c r="O31">
        <v>6</v>
      </c>
      <c r="P31" t="s">
        <v>79</v>
      </c>
      <c r="Q31" t="s">
        <v>85</v>
      </c>
      <c r="R31" t="s">
        <v>91</v>
      </c>
      <c r="S31" t="s">
        <v>105</v>
      </c>
      <c r="T31" t="s">
        <v>114</v>
      </c>
    </row>
    <row r="32" spans="1:20">
      <c r="A32" t="s">
        <v>24</v>
      </c>
      <c r="B32" t="s">
        <v>31</v>
      </c>
      <c r="C32" t="s">
        <v>36</v>
      </c>
      <c r="E32" s="2">
        <v>46033.88359953704</v>
      </c>
      <c r="F32" s="2">
        <v>46033.90539351852</v>
      </c>
      <c r="G32" t="s">
        <v>50</v>
      </c>
      <c r="H32" t="s">
        <v>51</v>
      </c>
      <c r="I32">
        <v>9</v>
      </c>
      <c r="J32">
        <v>21</v>
      </c>
      <c r="K32" t="s">
        <v>56</v>
      </c>
      <c r="L32" t="s">
        <v>67</v>
      </c>
      <c r="N32" t="s">
        <v>74</v>
      </c>
      <c r="O32">
        <v>1883</v>
      </c>
      <c r="P32" t="s">
        <v>79</v>
      </c>
      <c r="Q32" t="s">
        <v>85</v>
      </c>
      <c r="R32" t="s">
        <v>91</v>
      </c>
      <c r="S32" t="s">
        <v>105</v>
      </c>
      <c r="T32" t="s">
        <v>114</v>
      </c>
    </row>
    <row r="33" spans="1:20">
      <c r="A33" t="s">
        <v>26</v>
      </c>
      <c r="B33" t="s">
        <v>33</v>
      </c>
      <c r="C33" t="s">
        <v>35</v>
      </c>
      <c r="D33" t="s">
        <v>43</v>
      </c>
      <c r="E33" s="2">
        <v>46033.88361111111</v>
      </c>
      <c r="F33" s="2">
        <v>46033.88373842592</v>
      </c>
      <c r="G33" t="s">
        <v>50</v>
      </c>
      <c r="H33" t="s">
        <v>51</v>
      </c>
      <c r="I33">
        <v>9</v>
      </c>
      <c r="J33">
        <v>21</v>
      </c>
      <c r="L33" t="s">
        <v>63</v>
      </c>
      <c r="M33" t="s">
        <v>71</v>
      </c>
      <c r="N33" t="s">
        <v>74</v>
      </c>
      <c r="O33">
        <v>11</v>
      </c>
      <c r="P33" t="s">
        <v>43</v>
      </c>
      <c r="Q33" t="s">
        <v>84</v>
      </c>
      <c r="R33" t="s">
        <v>90</v>
      </c>
      <c r="S33" t="s">
        <v>104</v>
      </c>
      <c r="T33" t="s">
        <v>115</v>
      </c>
    </row>
    <row r="34" spans="1:20">
      <c r="A34" t="s">
        <v>26</v>
      </c>
      <c r="B34" t="s">
        <v>33</v>
      </c>
      <c r="C34" t="s">
        <v>35</v>
      </c>
      <c r="D34" t="s">
        <v>43</v>
      </c>
      <c r="E34" s="2">
        <v>46033.88373842592</v>
      </c>
      <c r="F34" s="2">
        <v>46033.88673611111</v>
      </c>
      <c r="G34" t="s">
        <v>50</v>
      </c>
      <c r="H34" t="s">
        <v>51</v>
      </c>
      <c r="I34">
        <v>9</v>
      </c>
      <c r="J34">
        <v>21</v>
      </c>
      <c r="L34" t="s">
        <v>63</v>
      </c>
      <c r="M34" t="s">
        <v>71</v>
      </c>
      <c r="N34" t="s">
        <v>74</v>
      </c>
      <c r="O34">
        <v>259</v>
      </c>
      <c r="P34" t="s">
        <v>43</v>
      </c>
      <c r="Q34" t="s">
        <v>84</v>
      </c>
      <c r="R34" t="s">
        <v>90</v>
      </c>
      <c r="S34" t="s">
        <v>104</v>
      </c>
      <c r="T34" t="s">
        <v>115</v>
      </c>
    </row>
    <row r="35" spans="1:20">
      <c r="A35" t="s">
        <v>25</v>
      </c>
      <c r="B35" t="s">
        <v>32</v>
      </c>
      <c r="C35" t="s">
        <v>38</v>
      </c>
      <c r="E35" s="2">
        <v>46033.88473379629</v>
      </c>
      <c r="F35" s="2">
        <v>46033.88493055556</v>
      </c>
      <c r="G35" t="s">
        <v>50</v>
      </c>
      <c r="H35" t="s">
        <v>51</v>
      </c>
      <c r="I35">
        <v>9</v>
      </c>
      <c r="J35">
        <v>21</v>
      </c>
      <c r="K35" t="s">
        <v>53</v>
      </c>
      <c r="L35" t="s">
        <v>61</v>
      </c>
      <c r="M35" t="s">
        <v>69</v>
      </c>
      <c r="N35" t="s">
        <v>74</v>
      </c>
      <c r="O35">
        <v>17</v>
      </c>
      <c r="P35" t="s">
        <v>79</v>
      </c>
      <c r="Q35" t="s">
        <v>85</v>
      </c>
      <c r="R35" t="s">
        <v>91</v>
      </c>
      <c r="S35" t="s">
        <v>105</v>
      </c>
      <c r="T35" t="s">
        <v>114</v>
      </c>
    </row>
    <row r="36" spans="1:20">
      <c r="A36" t="s">
        <v>25</v>
      </c>
      <c r="B36" t="s">
        <v>32</v>
      </c>
      <c r="C36" t="s">
        <v>38</v>
      </c>
      <c r="E36" s="2">
        <v>46033.88493055556</v>
      </c>
      <c r="F36" s="2">
        <v>46033.89153935185</v>
      </c>
      <c r="G36" t="s">
        <v>50</v>
      </c>
      <c r="H36" t="s">
        <v>51</v>
      </c>
      <c r="I36">
        <v>9</v>
      </c>
      <c r="J36">
        <v>21</v>
      </c>
      <c r="K36" t="s">
        <v>53</v>
      </c>
      <c r="L36" t="s">
        <v>62</v>
      </c>
      <c r="M36" t="s">
        <v>69</v>
      </c>
      <c r="N36" t="s">
        <v>74</v>
      </c>
      <c r="O36">
        <v>571</v>
      </c>
      <c r="P36" t="s">
        <v>79</v>
      </c>
      <c r="Q36" t="s">
        <v>85</v>
      </c>
      <c r="R36" t="s">
        <v>91</v>
      </c>
      <c r="S36" t="s">
        <v>105</v>
      </c>
      <c r="T36" t="s">
        <v>114</v>
      </c>
    </row>
    <row r="37" spans="1:20">
      <c r="A37" t="s">
        <v>20</v>
      </c>
      <c r="B37" t="s">
        <v>27</v>
      </c>
      <c r="C37" t="s">
        <v>38</v>
      </c>
      <c r="E37" s="2">
        <v>46033.88512731482</v>
      </c>
      <c r="F37" s="2">
        <v>46033.88934027778</v>
      </c>
      <c r="G37" t="s">
        <v>50</v>
      </c>
      <c r="H37" t="s">
        <v>51</v>
      </c>
      <c r="I37">
        <v>9</v>
      </c>
      <c r="J37">
        <v>21</v>
      </c>
      <c r="K37" t="s">
        <v>52</v>
      </c>
      <c r="L37" t="s">
        <v>66</v>
      </c>
      <c r="O37">
        <v>364</v>
      </c>
      <c r="P37" t="s">
        <v>79</v>
      </c>
      <c r="Q37" t="s">
        <v>85</v>
      </c>
      <c r="R37" t="s">
        <v>91</v>
      </c>
      <c r="S37" t="s">
        <v>105</v>
      </c>
      <c r="T37" t="s">
        <v>114</v>
      </c>
    </row>
    <row r="38" spans="1:20">
      <c r="A38" t="s">
        <v>23</v>
      </c>
      <c r="B38" t="s">
        <v>30</v>
      </c>
      <c r="C38" t="s">
        <v>35</v>
      </c>
      <c r="D38" t="s">
        <v>42</v>
      </c>
      <c r="E38" s="2">
        <v>46033.88572916666</v>
      </c>
      <c r="F38" s="2">
        <v>46033.88672453703</v>
      </c>
      <c r="G38" t="s">
        <v>50</v>
      </c>
      <c r="H38" t="s">
        <v>51</v>
      </c>
      <c r="I38">
        <v>9</v>
      </c>
      <c r="J38">
        <v>21</v>
      </c>
      <c r="K38" t="s">
        <v>55</v>
      </c>
      <c r="L38" t="s">
        <v>65</v>
      </c>
      <c r="M38" t="s">
        <v>69</v>
      </c>
      <c r="N38" t="s">
        <v>53</v>
      </c>
      <c r="O38">
        <v>86</v>
      </c>
      <c r="P38" t="s">
        <v>42</v>
      </c>
      <c r="Q38" t="s">
        <v>84</v>
      </c>
      <c r="R38" t="s">
        <v>89</v>
      </c>
      <c r="S38" t="s">
        <v>103</v>
      </c>
      <c r="T38" t="s">
        <v>115</v>
      </c>
    </row>
    <row r="39" spans="1:20">
      <c r="A39" t="s">
        <v>23</v>
      </c>
      <c r="B39" t="s">
        <v>30</v>
      </c>
      <c r="C39" t="s">
        <v>35</v>
      </c>
      <c r="D39" t="s">
        <v>42</v>
      </c>
      <c r="E39" s="2">
        <v>46033.88672453703</v>
      </c>
      <c r="F39" s="2">
        <v>46033.88686342593</v>
      </c>
      <c r="G39" t="s">
        <v>50</v>
      </c>
      <c r="H39" t="s">
        <v>51</v>
      </c>
      <c r="I39">
        <v>9</v>
      </c>
      <c r="J39">
        <v>21</v>
      </c>
      <c r="K39" t="s">
        <v>55</v>
      </c>
      <c r="L39" t="s">
        <v>65</v>
      </c>
      <c r="M39" t="s">
        <v>69</v>
      </c>
      <c r="N39" t="s">
        <v>53</v>
      </c>
      <c r="O39">
        <v>12</v>
      </c>
      <c r="P39" t="s">
        <v>42</v>
      </c>
      <c r="Q39" t="s">
        <v>84</v>
      </c>
      <c r="R39" t="s">
        <v>89</v>
      </c>
      <c r="S39" t="s">
        <v>103</v>
      </c>
      <c r="T39" t="s">
        <v>115</v>
      </c>
    </row>
    <row r="40" spans="1:20">
      <c r="A40" t="s">
        <v>26</v>
      </c>
      <c r="B40" t="s">
        <v>33</v>
      </c>
      <c r="C40" t="s">
        <v>38</v>
      </c>
      <c r="E40" s="2">
        <v>46033.88673611111</v>
      </c>
      <c r="F40" s="2">
        <v>46033.91666666666</v>
      </c>
      <c r="G40" t="s">
        <v>50</v>
      </c>
      <c r="H40" t="s">
        <v>51</v>
      </c>
      <c r="I40">
        <v>9</v>
      </c>
      <c r="J40">
        <v>21</v>
      </c>
      <c r="L40" t="s">
        <v>63</v>
      </c>
      <c r="M40" t="s">
        <v>71</v>
      </c>
      <c r="N40" t="s">
        <v>74</v>
      </c>
      <c r="O40">
        <v>2586</v>
      </c>
      <c r="P40" t="s">
        <v>79</v>
      </c>
      <c r="Q40" t="s">
        <v>85</v>
      </c>
      <c r="R40" t="s">
        <v>91</v>
      </c>
      <c r="S40" t="s">
        <v>105</v>
      </c>
      <c r="T40" t="s">
        <v>114</v>
      </c>
    </row>
    <row r="41" spans="1:20">
      <c r="A41" t="s">
        <v>23</v>
      </c>
      <c r="B41" t="s">
        <v>30</v>
      </c>
      <c r="C41" t="s">
        <v>35</v>
      </c>
      <c r="D41" t="s">
        <v>42</v>
      </c>
      <c r="E41" s="2">
        <v>46033.88686342593</v>
      </c>
      <c r="F41" s="2">
        <v>46033.886875</v>
      </c>
      <c r="G41" t="s">
        <v>50</v>
      </c>
      <c r="H41" t="s">
        <v>51</v>
      </c>
      <c r="I41">
        <v>9</v>
      </c>
      <c r="J41">
        <v>21</v>
      </c>
      <c r="K41" t="s">
        <v>55</v>
      </c>
      <c r="L41" t="s">
        <v>65</v>
      </c>
      <c r="M41" t="s">
        <v>69</v>
      </c>
      <c r="N41" t="s">
        <v>53</v>
      </c>
      <c r="O41">
        <v>1</v>
      </c>
      <c r="P41" t="s">
        <v>42</v>
      </c>
      <c r="Q41" t="s">
        <v>84</v>
      </c>
      <c r="R41" t="s">
        <v>89</v>
      </c>
      <c r="S41" t="s">
        <v>103</v>
      </c>
      <c r="T41" t="s">
        <v>115</v>
      </c>
    </row>
    <row r="42" spans="1:20">
      <c r="A42" t="s">
        <v>23</v>
      </c>
      <c r="B42" t="s">
        <v>30</v>
      </c>
      <c r="C42" t="s">
        <v>35</v>
      </c>
      <c r="D42" t="s">
        <v>42</v>
      </c>
      <c r="E42" s="2">
        <v>46033.886875</v>
      </c>
      <c r="F42" s="2">
        <v>46033.8871412037</v>
      </c>
      <c r="G42" t="s">
        <v>50</v>
      </c>
      <c r="H42" t="s">
        <v>51</v>
      </c>
      <c r="I42">
        <v>9</v>
      </c>
      <c r="J42">
        <v>21</v>
      </c>
      <c r="K42" t="s">
        <v>55</v>
      </c>
      <c r="L42" t="s">
        <v>65</v>
      </c>
      <c r="M42" t="s">
        <v>69</v>
      </c>
      <c r="N42" t="s">
        <v>75</v>
      </c>
      <c r="O42">
        <v>23</v>
      </c>
      <c r="P42" t="s">
        <v>42</v>
      </c>
      <c r="Q42" t="s">
        <v>84</v>
      </c>
      <c r="R42" t="s">
        <v>89</v>
      </c>
      <c r="S42" t="s">
        <v>103</v>
      </c>
      <c r="T42" t="s">
        <v>115</v>
      </c>
    </row>
    <row r="43" spans="1:20">
      <c r="A43" t="s">
        <v>23</v>
      </c>
      <c r="B43" t="s">
        <v>30</v>
      </c>
      <c r="C43" t="s">
        <v>35</v>
      </c>
      <c r="D43" t="s">
        <v>42</v>
      </c>
      <c r="E43" s="2">
        <v>46033.8871412037</v>
      </c>
      <c r="F43" s="2">
        <v>46033.8871875</v>
      </c>
      <c r="G43" t="s">
        <v>50</v>
      </c>
      <c r="H43" t="s">
        <v>51</v>
      </c>
      <c r="I43">
        <v>9</v>
      </c>
      <c r="J43">
        <v>21</v>
      </c>
      <c r="K43" t="s">
        <v>55</v>
      </c>
      <c r="L43" t="s">
        <v>65</v>
      </c>
      <c r="M43" t="s">
        <v>69</v>
      </c>
      <c r="N43" t="s">
        <v>74</v>
      </c>
      <c r="O43">
        <v>4</v>
      </c>
      <c r="P43" t="s">
        <v>42</v>
      </c>
      <c r="Q43" t="s">
        <v>84</v>
      </c>
      <c r="R43" t="s">
        <v>89</v>
      </c>
      <c r="S43" t="s">
        <v>103</v>
      </c>
      <c r="T43" t="s">
        <v>115</v>
      </c>
    </row>
    <row r="44" spans="1:20">
      <c r="A44" t="s">
        <v>23</v>
      </c>
      <c r="B44" t="s">
        <v>30</v>
      </c>
      <c r="C44" t="s">
        <v>35</v>
      </c>
      <c r="D44" t="s">
        <v>42</v>
      </c>
      <c r="E44" s="2">
        <v>46033.8871875</v>
      </c>
      <c r="F44" s="2">
        <v>46033.89160879629</v>
      </c>
      <c r="G44" t="s">
        <v>50</v>
      </c>
      <c r="H44" t="s">
        <v>51</v>
      </c>
      <c r="I44">
        <v>9</v>
      </c>
      <c r="J44">
        <v>21</v>
      </c>
      <c r="K44" t="s">
        <v>55</v>
      </c>
      <c r="L44" t="s">
        <v>65</v>
      </c>
      <c r="M44" t="s">
        <v>69</v>
      </c>
      <c r="N44" t="s">
        <v>74</v>
      </c>
      <c r="O44">
        <v>382</v>
      </c>
      <c r="P44" t="s">
        <v>42</v>
      </c>
      <c r="Q44" t="s">
        <v>84</v>
      </c>
      <c r="R44" t="s">
        <v>89</v>
      </c>
      <c r="S44" t="s">
        <v>103</v>
      </c>
      <c r="T44" t="s">
        <v>115</v>
      </c>
    </row>
    <row r="45" spans="1:20">
      <c r="A45" t="s">
        <v>20</v>
      </c>
      <c r="B45" t="s">
        <v>27</v>
      </c>
      <c r="C45" t="s">
        <v>39</v>
      </c>
      <c r="E45" s="2">
        <v>46033.88934027778</v>
      </c>
      <c r="F45" s="2">
        <v>46033.89148148148</v>
      </c>
      <c r="G45" t="s">
        <v>50</v>
      </c>
      <c r="H45" t="s">
        <v>51</v>
      </c>
      <c r="I45">
        <v>9</v>
      </c>
      <c r="J45">
        <v>21</v>
      </c>
      <c r="K45" t="s">
        <v>52</v>
      </c>
      <c r="L45" t="s">
        <v>66</v>
      </c>
      <c r="O45">
        <v>185</v>
      </c>
      <c r="P45" t="s">
        <v>81</v>
      </c>
      <c r="Q45" t="s">
        <v>85</v>
      </c>
      <c r="R45" t="s">
        <v>93</v>
      </c>
      <c r="S45" t="s">
        <v>107</v>
      </c>
      <c r="T45" t="s">
        <v>114</v>
      </c>
    </row>
    <row r="46" spans="1:20">
      <c r="A46" t="s">
        <v>20</v>
      </c>
      <c r="B46" t="s">
        <v>27</v>
      </c>
      <c r="C46" t="s">
        <v>38</v>
      </c>
      <c r="E46" s="2">
        <v>46033.89148148148</v>
      </c>
      <c r="F46" s="2">
        <v>46033.89228009259</v>
      </c>
      <c r="G46" t="s">
        <v>50</v>
      </c>
      <c r="H46" t="s">
        <v>51</v>
      </c>
      <c r="I46">
        <v>9</v>
      </c>
      <c r="J46">
        <v>21</v>
      </c>
      <c r="K46" t="s">
        <v>52</v>
      </c>
      <c r="L46" t="s">
        <v>66</v>
      </c>
      <c r="O46">
        <v>69</v>
      </c>
      <c r="P46" t="s">
        <v>79</v>
      </c>
      <c r="Q46" t="s">
        <v>85</v>
      </c>
      <c r="R46" t="s">
        <v>91</v>
      </c>
      <c r="S46" t="s">
        <v>105</v>
      </c>
      <c r="T46" t="s">
        <v>114</v>
      </c>
    </row>
    <row r="47" spans="1:20">
      <c r="A47" t="s">
        <v>25</v>
      </c>
      <c r="B47" t="s">
        <v>32</v>
      </c>
      <c r="C47" t="s">
        <v>37</v>
      </c>
      <c r="E47" s="2">
        <v>46033.89153935185</v>
      </c>
      <c r="F47" s="2">
        <v>46033.89164351852</v>
      </c>
      <c r="G47" t="s">
        <v>50</v>
      </c>
      <c r="H47" t="s">
        <v>51</v>
      </c>
      <c r="I47">
        <v>9</v>
      </c>
      <c r="J47">
        <v>21</v>
      </c>
      <c r="K47" t="s">
        <v>53</v>
      </c>
      <c r="L47" t="s">
        <v>62</v>
      </c>
      <c r="M47" t="s">
        <v>69</v>
      </c>
      <c r="N47" t="s">
        <v>74</v>
      </c>
      <c r="O47">
        <v>9</v>
      </c>
      <c r="P47" t="s">
        <v>81</v>
      </c>
      <c r="Q47" t="s">
        <v>85</v>
      </c>
      <c r="R47" t="s">
        <v>93</v>
      </c>
      <c r="S47" t="s">
        <v>107</v>
      </c>
      <c r="T47" t="s">
        <v>114</v>
      </c>
    </row>
    <row r="48" spans="1:20">
      <c r="A48" t="s">
        <v>23</v>
      </c>
      <c r="B48" t="s">
        <v>30</v>
      </c>
      <c r="C48" t="s">
        <v>35</v>
      </c>
      <c r="D48" t="s">
        <v>42</v>
      </c>
      <c r="E48" s="2">
        <v>46033.89160879629</v>
      </c>
      <c r="F48" s="2">
        <v>46033.8943287037</v>
      </c>
      <c r="G48" t="s">
        <v>50</v>
      </c>
      <c r="H48" t="s">
        <v>51</v>
      </c>
      <c r="I48">
        <v>9</v>
      </c>
      <c r="J48">
        <v>21</v>
      </c>
      <c r="K48" t="s">
        <v>55</v>
      </c>
      <c r="L48" t="s">
        <v>65</v>
      </c>
      <c r="M48" t="s">
        <v>69</v>
      </c>
      <c r="N48" t="s">
        <v>74</v>
      </c>
      <c r="O48">
        <v>235</v>
      </c>
      <c r="P48" t="s">
        <v>42</v>
      </c>
      <c r="Q48" t="s">
        <v>84</v>
      </c>
      <c r="R48" t="s">
        <v>89</v>
      </c>
      <c r="S48" t="s">
        <v>103</v>
      </c>
      <c r="T48" t="s">
        <v>115</v>
      </c>
    </row>
    <row r="49" spans="1:20">
      <c r="A49" t="s">
        <v>25</v>
      </c>
      <c r="B49" t="s">
        <v>32</v>
      </c>
      <c r="C49" t="s">
        <v>37</v>
      </c>
      <c r="E49" s="2">
        <v>46033.89164351852</v>
      </c>
      <c r="F49" s="2">
        <v>46033.89201388889</v>
      </c>
      <c r="G49" t="s">
        <v>50</v>
      </c>
      <c r="H49" t="s">
        <v>51</v>
      </c>
      <c r="I49">
        <v>9</v>
      </c>
      <c r="J49">
        <v>21</v>
      </c>
      <c r="K49" t="s">
        <v>53</v>
      </c>
      <c r="L49" t="s">
        <v>62</v>
      </c>
      <c r="M49" t="s">
        <v>69</v>
      </c>
      <c r="N49" t="s">
        <v>75</v>
      </c>
      <c r="O49">
        <v>32</v>
      </c>
      <c r="P49" t="s">
        <v>81</v>
      </c>
      <c r="Q49" t="s">
        <v>85</v>
      </c>
      <c r="R49" t="s">
        <v>93</v>
      </c>
      <c r="S49" t="s">
        <v>107</v>
      </c>
      <c r="T49" t="s">
        <v>114</v>
      </c>
    </row>
    <row r="50" spans="1:20">
      <c r="A50" t="s">
        <v>25</v>
      </c>
      <c r="B50" t="s">
        <v>32</v>
      </c>
      <c r="C50" t="s">
        <v>35</v>
      </c>
      <c r="D50" t="s">
        <v>44</v>
      </c>
      <c r="E50" s="2">
        <v>46033.89201388889</v>
      </c>
      <c r="F50" s="2">
        <v>46033.89207175926</v>
      </c>
      <c r="G50" t="s">
        <v>50</v>
      </c>
      <c r="H50" t="s">
        <v>51</v>
      </c>
      <c r="I50">
        <v>9</v>
      </c>
      <c r="J50">
        <v>21</v>
      </c>
      <c r="K50" t="s">
        <v>53</v>
      </c>
      <c r="L50" t="s">
        <v>62</v>
      </c>
      <c r="M50" t="s">
        <v>69</v>
      </c>
      <c r="N50" t="s">
        <v>75</v>
      </c>
      <c r="O50">
        <v>5</v>
      </c>
      <c r="P50" t="s">
        <v>44</v>
      </c>
      <c r="Q50" t="s">
        <v>84</v>
      </c>
      <c r="R50" t="s">
        <v>94</v>
      </c>
      <c r="S50" t="s">
        <v>108</v>
      </c>
      <c r="T50" t="s">
        <v>115</v>
      </c>
    </row>
    <row r="51" spans="1:20">
      <c r="A51" t="s">
        <v>25</v>
      </c>
      <c r="B51" t="s">
        <v>32</v>
      </c>
      <c r="C51" t="s">
        <v>35</v>
      </c>
      <c r="D51" t="s">
        <v>44</v>
      </c>
      <c r="E51" s="2">
        <v>46033.89207175926</v>
      </c>
      <c r="F51" s="2">
        <v>46033.8921412037</v>
      </c>
      <c r="G51" t="s">
        <v>50</v>
      </c>
      <c r="H51" t="s">
        <v>51</v>
      </c>
      <c r="I51">
        <v>9</v>
      </c>
      <c r="J51">
        <v>21</v>
      </c>
      <c r="K51" t="s">
        <v>53</v>
      </c>
      <c r="L51" t="s">
        <v>62</v>
      </c>
      <c r="M51" t="s">
        <v>69</v>
      </c>
      <c r="N51" t="s">
        <v>74</v>
      </c>
      <c r="O51">
        <v>6</v>
      </c>
      <c r="P51" t="s">
        <v>44</v>
      </c>
      <c r="Q51" t="s">
        <v>84</v>
      </c>
      <c r="R51" t="s">
        <v>94</v>
      </c>
      <c r="S51" t="s">
        <v>108</v>
      </c>
      <c r="T51" t="s">
        <v>115</v>
      </c>
    </row>
    <row r="52" spans="1:20">
      <c r="A52" t="s">
        <v>25</v>
      </c>
      <c r="B52" t="s">
        <v>32</v>
      </c>
      <c r="C52" t="s">
        <v>35</v>
      </c>
      <c r="D52" t="s">
        <v>44</v>
      </c>
      <c r="E52" s="2">
        <v>46033.8921412037</v>
      </c>
      <c r="F52" s="2">
        <v>46033.89277777778</v>
      </c>
      <c r="G52" t="s">
        <v>50</v>
      </c>
      <c r="H52" t="s">
        <v>51</v>
      </c>
      <c r="I52">
        <v>9</v>
      </c>
      <c r="J52">
        <v>21</v>
      </c>
      <c r="K52" t="s">
        <v>53</v>
      </c>
      <c r="L52" t="s">
        <v>62</v>
      </c>
      <c r="M52" t="s">
        <v>69</v>
      </c>
      <c r="N52" t="s">
        <v>74</v>
      </c>
      <c r="O52">
        <v>55</v>
      </c>
      <c r="P52" t="s">
        <v>44</v>
      </c>
      <c r="Q52" t="s">
        <v>84</v>
      </c>
      <c r="R52" t="s">
        <v>94</v>
      </c>
      <c r="S52" t="s">
        <v>108</v>
      </c>
      <c r="T52" t="s">
        <v>115</v>
      </c>
    </row>
    <row r="53" spans="1:20">
      <c r="A53" t="s">
        <v>20</v>
      </c>
      <c r="B53" t="s">
        <v>27</v>
      </c>
      <c r="C53" t="s">
        <v>36</v>
      </c>
      <c r="E53" s="2">
        <v>46033.89228009259</v>
      </c>
      <c r="F53" s="2">
        <v>46033.90268518519</v>
      </c>
      <c r="G53" t="s">
        <v>50</v>
      </c>
      <c r="H53" t="s">
        <v>51</v>
      </c>
      <c r="I53">
        <v>9</v>
      </c>
      <c r="J53">
        <v>21</v>
      </c>
      <c r="K53" t="s">
        <v>52</v>
      </c>
      <c r="L53" t="s">
        <v>66</v>
      </c>
      <c r="O53">
        <v>899</v>
      </c>
      <c r="P53" t="s">
        <v>79</v>
      </c>
      <c r="Q53" t="s">
        <v>85</v>
      </c>
      <c r="R53" t="s">
        <v>91</v>
      </c>
      <c r="S53" t="s">
        <v>105</v>
      </c>
      <c r="T53" t="s">
        <v>114</v>
      </c>
    </row>
    <row r="54" spans="1:20">
      <c r="A54" t="s">
        <v>22</v>
      </c>
      <c r="B54" t="s">
        <v>29</v>
      </c>
      <c r="C54" t="s">
        <v>38</v>
      </c>
      <c r="E54" s="2">
        <v>46033.89248842592</v>
      </c>
      <c r="F54" s="2">
        <v>46033.89291666666</v>
      </c>
      <c r="G54" t="s">
        <v>50</v>
      </c>
      <c r="H54" t="s">
        <v>51</v>
      </c>
      <c r="I54">
        <v>9</v>
      </c>
      <c r="J54">
        <v>21</v>
      </c>
      <c r="K54" t="s">
        <v>54</v>
      </c>
      <c r="L54" t="s">
        <v>64</v>
      </c>
      <c r="M54" t="s">
        <v>69</v>
      </c>
      <c r="N54" t="s">
        <v>74</v>
      </c>
      <c r="O54">
        <v>37</v>
      </c>
      <c r="P54" t="s">
        <v>79</v>
      </c>
      <c r="Q54" t="s">
        <v>85</v>
      </c>
      <c r="R54" t="s">
        <v>91</v>
      </c>
      <c r="S54" t="s">
        <v>105</v>
      </c>
      <c r="T54" t="s">
        <v>114</v>
      </c>
    </row>
    <row r="55" spans="1:20">
      <c r="A55" t="s">
        <v>25</v>
      </c>
      <c r="B55" t="s">
        <v>32</v>
      </c>
      <c r="C55" t="s">
        <v>35</v>
      </c>
      <c r="D55" t="s">
        <v>44</v>
      </c>
      <c r="E55" s="2">
        <v>46033.89277777778</v>
      </c>
      <c r="F55" s="2">
        <v>46033.89278935185</v>
      </c>
      <c r="G55" t="s">
        <v>50</v>
      </c>
      <c r="H55" t="s">
        <v>51</v>
      </c>
      <c r="I55">
        <v>9</v>
      </c>
      <c r="J55">
        <v>21</v>
      </c>
      <c r="K55" t="s">
        <v>53</v>
      </c>
      <c r="L55" t="s">
        <v>62</v>
      </c>
      <c r="M55" t="s">
        <v>69</v>
      </c>
      <c r="N55" t="s">
        <v>74</v>
      </c>
      <c r="O55">
        <v>1</v>
      </c>
      <c r="P55" t="s">
        <v>44</v>
      </c>
      <c r="Q55" t="s">
        <v>84</v>
      </c>
      <c r="R55" t="s">
        <v>94</v>
      </c>
      <c r="S55" t="s">
        <v>108</v>
      </c>
      <c r="T55" t="s">
        <v>115</v>
      </c>
    </row>
    <row r="56" spans="1:20">
      <c r="A56" t="s">
        <v>25</v>
      </c>
      <c r="B56" t="s">
        <v>32</v>
      </c>
      <c r="C56" t="s">
        <v>35</v>
      </c>
      <c r="D56" t="s">
        <v>44</v>
      </c>
      <c r="E56" s="2">
        <v>46033.89278935185</v>
      </c>
      <c r="F56" s="2">
        <v>46033.89365740741</v>
      </c>
      <c r="G56" t="s">
        <v>50</v>
      </c>
      <c r="H56" t="s">
        <v>51</v>
      </c>
      <c r="I56">
        <v>9</v>
      </c>
      <c r="J56">
        <v>21</v>
      </c>
      <c r="K56" t="s">
        <v>53</v>
      </c>
      <c r="L56" t="s">
        <v>62</v>
      </c>
      <c r="M56" t="s">
        <v>69</v>
      </c>
      <c r="N56" t="s">
        <v>76</v>
      </c>
      <c r="O56">
        <v>75</v>
      </c>
      <c r="P56" t="s">
        <v>44</v>
      </c>
      <c r="Q56" t="s">
        <v>84</v>
      </c>
      <c r="R56" t="s">
        <v>94</v>
      </c>
      <c r="S56" t="s">
        <v>108</v>
      </c>
      <c r="T56" t="s">
        <v>115</v>
      </c>
    </row>
    <row r="57" spans="1:20">
      <c r="A57" t="s">
        <v>22</v>
      </c>
      <c r="B57" t="s">
        <v>29</v>
      </c>
      <c r="C57" t="s">
        <v>37</v>
      </c>
      <c r="E57" s="2">
        <v>46033.89291666666</v>
      </c>
      <c r="F57" s="2">
        <v>46033.89363425926</v>
      </c>
      <c r="G57" t="s">
        <v>50</v>
      </c>
      <c r="H57" t="s">
        <v>51</v>
      </c>
      <c r="I57">
        <v>9</v>
      </c>
      <c r="J57">
        <v>21</v>
      </c>
      <c r="K57" t="s">
        <v>54</v>
      </c>
      <c r="L57" t="s">
        <v>64</v>
      </c>
      <c r="M57" t="s">
        <v>69</v>
      </c>
      <c r="N57" t="s">
        <v>74</v>
      </c>
      <c r="O57">
        <v>62</v>
      </c>
      <c r="P57" t="s">
        <v>81</v>
      </c>
      <c r="Q57" t="s">
        <v>85</v>
      </c>
      <c r="R57" t="s">
        <v>93</v>
      </c>
      <c r="S57" t="s">
        <v>107</v>
      </c>
      <c r="T57" t="s">
        <v>114</v>
      </c>
    </row>
    <row r="58" spans="1:20">
      <c r="A58" t="s">
        <v>22</v>
      </c>
      <c r="B58" t="s">
        <v>29</v>
      </c>
      <c r="C58" t="s">
        <v>39</v>
      </c>
      <c r="E58" s="2">
        <v>46033.89363425926</v>
      </c>
      <c r="F58" s="2">
        <v>46033.89533564815</v>
      </c>
      <c r="G58" t="s">
        <v>50</v>
      </c>
      <c r="H58" t="s">
        <v>51</v>
      </c>
      <c r="I58">
        <v>9</v>
      </c>
      <c r="J58">
        <v>21</v>
      </c>
      <c r="K58" t="s">
        <v>54</v>
      </c>
      <c r="L58" t="s">
        <v>64</v>
      </c>
      <c r="M58" t="s">
        <v>69</v>
      </c>
      <c r="N58" t="s">
        <v>74</v>
      </c>
      <c r="O58">
        <v>147</v>
      </c>
      <c r="P58" t="s">
        <v>81</v>
      </c>
      <c r="Q58" t="s">
        <v>85</v>
      </c>
      <c r="R58" t="s">
        <v>93</v>
      </c>
      <c r="S58" t="s">
        <v>107</v>
      </c>
      <c r="T58" t="s">
        <v>114</v>
      </c>
    </row>
    <row r="59" spans="1:20">
      <c r="A59" t="s">
        <v>25</v>
      </c>
      <c r="B59" t="s">
        <v>32</v>
      </c>
      <c r="C59" t="s">
        <v>35</v>
      </c>
      <c r="D59" t="s">
        <v>44</v>
      </c>
      <c r="E59" s="2">
        <v>46033.89365740741</v>
      </c>
      <c r="F59" s="2">
        <v>46033.89417824074</v>
      </c>
      <c r="G59" t="s">
        <v>50</v>
      </c>
      <c r="H59" t="s">
        <v>51</v>
      </c>
      <c r="I59">
        <v>9</v>
      </c>
      <c r="J59">
        <v>21</v>
      </c>
      <c r="K59" t="s">
        <v>53</v>
      </c>
      <c r="L59" t="s">
        <v>62</v>
      </c>
      <c r="M59" t="s">
        <v>69</v>
      </c>
      <c r="N59" t="s">
        <v>74</v>
      </c>
      <c r="O59">
        <v>45</v>
      </c>
      <c r="P59" t="s">
        <v>44</v>
      </c>
      <c r="Q59" t="s">
        <v>84</v>
      </c>
      <c r="R59" t="s">
        <v>94</v>
      </c>
      <c r="S59" t="s">
        <v>108</v>
      </c>
      <c r="T59" t="s">
        <v>115</v>
      </c>
    </row>
    <row r="60" spans="1:20">
      <c r="A60" t="s">
        <v>25</v>
      </c>
      <c r="B60" t="s">
        <v>32</v>
      </c>
      <c r="C60" t="s">
        <v>35</v>
      </c>
      <c r="D60" t="s">
        <v>44</v>
      </c>
      <c r="E60" s="2">
        <v>46033.89417824074</v>
      </c>
      <c r="F60" s="2">
        <v>46033.89438657407</v>
      </c>
      <c r="G60" t="s">
        <v>50</v>
      </c>
      <c r="H60" t="s">
        <v>51</v>
      </c>
      <c r="I60">
        <v>9</v>
      </c>
      <c r="J60">
        <v>21</v>
      </c>
      <c r="K60" t="s">
        <v>53</v>
      </c>
      <c r="L60" t="s">
        <v>62</v>
      </c>
      <c r="M60" t="s">
        <v>69</v>
      </c>
      <c r="N60" t="s">
        <v>74</v>
      </c>
      <c r="O60">
        <v>18</v>
      </c>
      <c r="P60" t="s">
        <v>44</v>
      </c>
      <c r="Q60" t="s">
        <v>84</v>
      </c>
      <c r="R60" t="s">
        <v>94</v>
      </c>
      <c r="S60" t="s">
        <v>108</v>
      </c>
      <c r="T60" t="s">
        <v>115</v>
      </c>
    </row>
    <row r="61" spans="1:20">
      <c r="A61" t="s">
        <v>23</v>
      </c>
      <c r="B61" t="s">
        <v>30</v>
      </c>
      <c r="C61" t="s">
        <v>35</v>
      </c>
      <c r="D61" t="s">
        <v>42</v>
      </c>
      <c r="E61" s="2">
        <v>46033.8943287037</v>
      </c>
      <c r="F61" s="2">
        <v>46033.89467592593</v>
      </c>
      <c r="G61" t="s">
        <v>50</v>
      </c>
      <c r="H61" t="s">
        <v>51</v>
      </c>
      <c r="I61">
        <v>9</v>
      </c>
      <c r="J61">
        <v>21</v>
      </c>
      <c r="K61" t="s">
        <v>55</v>
      </c>
      <c r="L61" t="s">
        <v>65</v>
      </c>
      <c r="M61" t="s">
        <v>69</v>
      </c>
      <c r="N61" t="s">
        <v>74</v>
      </c>
      <c r="O61">
        <v>30</v>
      </c>
      <c r="P61" t="s">
        <v>42</v>
      </c>
      <c r="Q61" t="s">
        <v>84</v>
      </c>
      <c r="R61" t="s">
        <v>89</v>
      </c>
      <c r="S61" t="s">
        <v>103</v>
      </c>
      <c r="T61" t="s">
        <v>115</v>
      </c>
    </row>
    <row r="62" spans="1:20">
      <c r="A62" t="s">
        <v>25</v>
      </c>
      <c r="B62" t="s">
        <v>32</v>
      </c>
      <c r="C62" t="s">
        <v>35</v>
      </c>
      <c r="D62" t="s">
        <v>44</v>
      </c>
      <c r="E62" s="2">
        <v>46033.89438657407</v>
      </c>
      <c r="F62" s="2">
        <v>46033.89869212963</v>
      </c>
      <c r="G62" t="s">
        <v>50</v>
      </c>
      <c r="H62" t="s">
        <v>51</v>
      </c>
      <c r="I62">
        <v>9</v>
      </c>
      <c r="J62">
        <v>21</v>
      </c>
      <c r="K62" t="s">
        <v>53</v>
      </c>
      <c r="L62" t="s">
        <v>62</v>
      </c>
      <c r="M62" t="s">
        <v>69</v>
      </c>
      <c r="N62" t="s">
        <v>74</v>
      </c>
      <c r="O62">
        <v>372</v>
      </c>
      <c r="P62" t="s">
        <v>44</v>
      </c>
      <c r="Q62" t="s">
        <v>84</v>
      </c>
      <c r="R62" t="s">
        <v>94</v>
      </c>
      <c r="S62" t="s">
        <v>108</v>
      </c>
      <c r="T62" t="s">
        <v>115</v>
      </c>
    </row>
    <row r="63" spans="1:20">
      <c r="A63" t="s">
        <v>23</v>
      </c>
      <c r="B63" t="s">
        <v>30</v>
      </c>
      <c r="C63" t="s">
        <v>35</v>
      </c>
      <c r="D63" t="s">
        <v>42</v>
      </c>
      <c r="E63" s="2">
        <v>46033.89467592593</v>
      </c>
      <c r="F63" s="2">
        <v>46033.89483796297</v>
      </c>
      <c r="G63" t="s">
        <v>50</v>
      </c>
      <c r="H63" t="s">
        <v>51</v>
      </c>
      <c r="I63">
        <v>9</v>
      </c>
      <c r="J63">
        <v>21</v>
      </c>
      <c r="K63" t="s">
        <v>55</v>
      </c>
      <c r="L63" t="s">
        <v>65</v>
      </c>
      <c r="M63" t="s">
        <v>69</v>
      </c>
      <c r="N63" t="s">
        <v>74</v>
      </c>
      <c r="O63">
        <v>14</v>
      </c>
      <c r="P63" t="s">
        <v>42</v>
      </c>
      <c r="Q63" t="s">
        <v>84</v>
      </c>
      <c r="R63" t="s">
        <v>89</v>
      </c>
      <c r="S63" t="s">
        <v>103</v>
      </c>
      <c r="T63" t="s">
        <v>115</v>
      </c>
    </row>
    <row r="64" spans="1:20">
      <c r="A64" t="s">
        <v>23</v>
      </c>
      <c r="B64" t="s">
        <v>30</v>
      </c>
      <c r="C64" t="s">
        <v>36</v>
      </c>
      <c r="E64" s="2">
        <v>46033.89483796297</v>
      </c>
      <c r="F64" s="2">
        <v>46033.91666666666</v>
      </c>
      <c r="G64" t="s">
        <v>50</v>
      </c>
      <c r="H64" t="s">
        <v>51</v>
      </c>
      <c r="I64">
        <v>9</v>
      </c>
      <c r="J64">
        <v>21</v>
      </c>
      <c r="K64" t="s">
        <v>55</v>
      </c>
      <c r="L64" t="s">
        <v>65</v>
      </c>
      <c r="M64" t="s">
        <v>69</v>
      </c>
      <c r="N64" t="s">
        <v>74</v>
      </c>
      <c r="O64">
        <v>1886</v>
      </c>
      <c r="P64" t="s">
        <v>79</v>
      </c>
      <c r="Q64" t="s">
        <v>85</v>
      </c>
      <c r="R64" t="s">
        <v>91</v>
      </c>
      <c r="S64" t="s">
        <v>105</v>
      </c>
      <c r="T64" t="s">
        <v>114</v>
      </c>
    </row>
    <row r="65" spans="1:20">
      <c r="A65" t="s">
        <v>22</v>
      </c>
      <c r="B65" t="s">
        <v>29</v>
      </c>
      <c r="C65" t="s">
        <v>37</v>
      </c>
      <c r="E65" s="2">
        <v>46033.89533564815</v>
      </c>
      <c r="F65" s="2">
        <v>46033.89657407408</v>
      </c>
      <c r="G65" t="s">
        <v>50</v>
      </c>
      <c r="H65" t="s">
        <v>51</v>
      </c>
      <c r="I65">
        <v>9</v>
      </c>
      <c r="J65">
        <v>21</v>
      </c>
      <c r="K65" t="s">
        <v>54</v>
      </c>
      <c r="L65" t="s">
        <v>64</v>
      </c>
      <c r="M65" t="s">
        <v>69</v>
      </c>
      <c r="N65" t="s">
        <v>74</v>
      </c>
      <c r="O65">
        <v>107</v>
      </c>
      <c r="P65" t="s">
        <v>81</v>
      </c>
      <c r="Q65" t="s">
        <v>85</v>
      </c>
      <c r="R65" t="s">
        <v>93</v>
      </c>
      <c r="S65" t="s">
        <v>107</v>
      </c>
      <c r="T65" t="s">
        <v>114</v>
      </c>
    </row>
    <row r="66" spans="1:20">
      <c r="A66" t="s">
        <v>22</v>
      </c>
      <c r="B66" t="s">
        <v>29</v>
      </c>
      <c r="C66" t="s">
        <v>38</v>
      </c>
      <c r="E66" s="2">
        <v>46033.89657407408</v>
      </c>
      <c r="F66" s="2">
        <v>46033.89722222222</v>
      </c>
      <c r="G66" t="s">
        <v>50</v>
      </c>
      <c r="H66" t="s">
        <v>51</v>
      </c>
      <c r="I66">
        <v>9</v>
      </c>
      <c r="J66">
        <v>21</v>
      </c>
      <c r="K66" t="s">
        <v>54</v>
      </c>
      <c r="L66" t="s">
        <v>64</v>
      </c>
      <c r="M66" t="s">
        <v>69</v>
      </c>
      <c r="N66" t="s">
        <v>74</v>
      </c>
      <c r="O66">
        <v>56</v>
      </c>
      <c r="P66" t="s">
        <v>79</v>
      </c>
      <c r="Q66" t="s">
        <v>85</v>
      </c>
      <c r="R66" t="s">
        <v>91</v>
      </c>
      <c r="S66" t="s">
        <v>105</v>
      </c>
      <c r="T66" t="s">
        <v>114</v>
      </c>
    </row>
    <row r="67" spans="1:20">
      <c r="A67" t="s">
        <v>22</v>
      </c>
      <c r="B67" t="s">
        <v>29</v>
      </c>
      <c r="C67" t="s">
        <v>36</v>
      </c>
      <c r="E67" s="2">
        <v>46033.89722222222</v>
      </c>
      <c r="F67" s="2">
        <v>46033.91666666666</v>
      </c>
      <c r="G67" t="s">
        <v>50</v>
      </c>
      <c r="H67" t="s">
        <v>51</v>
      </c>
      <c r="I67">
        <v>9</v>
      </c>
      <c r="J67">
        <v>21</v>
      </c>
      <c r="K67" t="s">
        <v>54</v>
      </c>
      <c r="L67" t="s">
        <v>64</v>
      </c>
      <c r="M67" t="s">
        <v>69</v>
      </c>
      <c r="N67" t="s">
        <v>74</v>
      </c>
      <c r="O67">
        <v>1680</v>
      </c>
      <c r="P67" t="s">
        <v>79</v>
      </c>
      <c r="Q67" t="s">
        <v>85</v>
      </c>
      <c r="R67" t="s">
        <v>91</v>
      </c>
      <c r="S67" t="s">
        <v>105</v>
      </c>
      <c r="T67" t="s">
        <v>114</v>
      </c>
    </row>
    <row r="68" spans="1:20">
      <c r="A68" t="s">
        <v>25</v>
      </c>
      <c r="B68" t="s">
        <v>32</v>
      </c>
      <c r="C68" t="s">
        <v>35</v>
      </c>
      <c r="D68" t="s">
        <v>44</v>
      </c>
      <c r="E68" s="2">
        <v>46033.89869212963</v>
      </c>
      <c r="F68" s="2">
        <v>46033.89895833333</v>
      </c>
      <c r="G68" t="s">
        <v>50</v>
      </c>
      <c r="H68" t="s">
        <v>51</v>
      </c>
      <c r="I68">
        <v>9</v>
      </c>
      <c r="J68">
        <v>21</v>
      </c>
      <c r="K68" t="s">
        <v>53</v>
      </c>
      <c r="L68" t="s">
        <v>62</v>
      </c>
      <c r="M68" t="s">
        <v>69</v>
      </c>
      <c r="N68" t="s">
        <v>74</v>
      </c>
      <c r="O68">
        <v>23</v>
      </c>
      <c r="P68" t="s">
        <v>44</v>
      </c>
      <c r="Q68" t="s">
        <v>84</v>
      </c>
      <c r="R68" t="s">
        <v>94</v>
      </c>
      <c r="S68" t="s">
        <v>108</v>
      </c>
      <c r="T68" t="s">
        <v>115</v>
      </c>
    </row>
    <row r="69" spans="1:20">
      <c r="A69" t="s">
        <v>25</v>
      </c>
      <c r="B69" t="s">
        <v>32</v>
      </c>
      <c r="C69" t="s">
        <v>35</v>
      </c>
      <c r="D69" t="s">
        <v>44</v>
      </c>
      <c r="E69" s="2">
        <v>46033.89895833333</v>
      </c>
      <c r="F69" s="2">
        <v>46033.90115740741</v>
      </c>
      <c r="G69" t="s">
        <v>50</v>
      </c>
      <c r="H69" t="s">
        <v>51</v>
      </c>
      <c r="I69">
        <v>9</v>
      </c>
      <c r="J69">
        <v>21</v>
      </c>
      <c r="K69" t="s">
        <v>53</v>
      </c>
      <c r="L69" t="s">
        <v>62</v>
      </c>
      <c r="M69" t="s">
        <v>69</v>
      </c>
      <c r="N69" t="s">
        <v>74</v>
      </c>
      <c r="O69">
        <v>190</v>
      </c>
      <c r="P69" t="s">
        <v>44</v>
      </c>
      <c r="Q69" t="s">
        <v>84</v>
      </c>
      <c r="R69" t="s">
        <v>94</v>
      </c>
      <c r="S69" t="s">
        <v>108</v>
      </c>
      <c r="T69" t="s">
        <v>115</v>
      </c>
    </row>
    <row r="70" spans="1:20">
      <c r="A70" t="s">
        <v>25</v>
      </c>
      <c r="B70" t="s">
        <v>32</v>
      </c>
      <c r="C70" t="s">
        <v>35</v>
      </c>
      <c r="D70" t="s">
        <v>44</v>
      </c>
      <c r="E70" s="2">
        <v>46033.90115740741</v>
      </c>
      <c r="F70" s="2">
        <v>46033.90225694444</v>
      </c>
      <c r="G70" t="s">
        <v>50</v>
      </c>
      <c r="H70" t="s">
        <v>51</v>
      </c>
      <c r="I70">
        <v>9</v>
      </c>
      <c r="J70">
        <v>21</v>
      </c>
      <c r="K70" t="s">
        <v>53</v>
      </c>
      <c r="L70" t="s">
        <v>62</v>
      </c>
      <c r="M70" t="s">
        <v>69</v>
      </c>
      <c r="N70" t="s">
        <v>74</v>
      </c>
      <c r="O70">
        <v>95</v>
      </c>
      <c r="P70" t="s">
        <v>44</v>
      </c>
      <c r="Q70" t="s">
        <v>84</v>
      </c>
      <c r="R70" t="s">
        <v>94</v>
      </c>
      <c r="S70" t="s">
        <v>108</v>
      </c>
      <c r="T70" t="s">
        <v>115</v>
      </c>
    </row>
    <row r="71" spans="1:20">
      <c r="A71" t="s">
        <v>25</v>
      </c>
      <c r="B71" t="s">
        <v>32</v>
      </c>
      <c r="C71" t="s">
        <v>35</v>
      </c>
      <c r="D71" t="s">
        <v>44</v>
      </c>
      <c r="E71" s="2">
        <v>46033.90225694444</v>
      </c>
      <c r="F71" s="2">
        <v>46033.9022800926</v>
      </c>
      <c r="G71" t="s">
        <v>50</v>
      </c>
      <c r="H71" t="s">
        <v>51</v>
      </c>
      <c r="I71">
        <v>9</v>
      </c>
      <c r="J71">
        <v>21</v>
      </c>
      <c r="K71" t="s">
        <v>53</v>
      </c>
      <c r="L71" t="s">
        <v>62</v>
      </c>
      <c r="M71" t="s">
        <v>69</v>
      </c>
      <c r="N71" t="s">
        <v>74</v>
      </c>
      <c r="O71">
        <v>2</v>
      </c>
      <c r="P71" t="s">
        <v>44</v>
      </c>
      <c r="Q71" t="s">
        <v>84</v>
      </c>
      <c r="R71" t="s">
        <v>94</v>
      </c>
      <c r="S71" t="s">
        <v>108</v>
      </c>
      <c r="T71" t="s">
        <v>115</v>
      </c>
    </row>
    <row r="72" spans="1:20">
      <c r="A72" t="s">
        <v>25</v>
      </c>
      <c r="B72" t="s">
        <v>32</v>
      </c>
      <c r="C72" t="s">
        <v>35</v>
      </c>
      <c r="D72" t="s">
        <v>44</v>
      </c>
      <c r="E72" s="2">
        <v>46033.9022800926</v>
      </c>
      <c r="F72" s="2">
        <v>46033.91666666666</v>
      </c>
      <c r="G72" t="s">
        <v>50</v>
      </c>
      <c r="H72" t="s">
        <v>51</v>
      </c>
      <c r="I72">
        <v>9</v>
      </c>
      <c r="J72">
        <v>21</v>
      </c>
      <c r="K72" t="s">
        <v>53</v>
      </c>
      <c r="L72" t="s">
        <v>62</v>
      </c>
      <c r="M72" t="s">
        <v>69</v>
      </c>
      <c r="N72" t="s">
        <v>74</v>
      </c>
      <c r="O72">
        <v>1243</v>
      </c>
      <c r="P72" t="s">
        <v>44</v>
      </c>
      <c r="Q72" t="s">
        <v>84</v>
      </c>
      <c r="R72" t="s">
        <v>94</v>
      </c>
      <c r="S72" t="s">
        <v>108</v>
      </c>
      <c r="T72" t="s">
        <v>115</v>
      </c>
    </row>
    <row r="73" spans="1:20">
      <c r="A73" t="s">
        <v>20</v>
      </c>
      <c r="B73" t="s">
        <v>27</v>
      </c>
      <c r="C73" t="s">
        <v>38</v>
      </c>
      <c r="E73" s="2">
        <v>46033.90268518519</v>
      </c>
      <c r="F73" s="2">
        <v>46033.90327546297</v>
      </c>
      <c r="G73" t="s">
        <v>50</v>
      </c>
      <c r="H73" t="s">
        <v>51</v>
      </c>
      <c r="I73">
        <v>9</v>
      </c>
      <c r="J73">
        <v>21</v>
      </c>
      <c r="K73" t="s">
        <v>52</v>
      </c>
      <c r="L73" t="s">
        <v>66</v>
      </c>
      <c r="O73">
        <v>51</v>
      </c>
      <c r="P73" t="s">
        <v>79</v>
      </c>
      <c r="Q73" t="s">
        <v>85</v>
      </c>
      <c r="R73" t="s">
        <v>91</v>
      </c>
      <c r="S73" t="s">
        <v>105</v>
      </c>
      <c r="T73" t="s">
        <v>114</v>
      </c>
    </row>
    <row r="74" spans="1:20">
      <c r="A74" t="s">
        <v>20</v>
      </c>
      <c r="B74" t="s">
        <v>27</v>
      </c>
      <c r="C74" t="s">
        <v>39</v>
      </c>
      <c r="E74" s="2">
        <v>46033.90327546297</v>
      </c>
      <c r="F74" s="2">
        <v>46033.90422453704</v>
      </c>
      <c r="G74" t="s">
        <v>50</v>
      </c>
      <c r="H74" t="s">
        <v>51</v>
      </c>
      <c r="I74">
        <v>9</v>
      </c>
      <c r="J74">
        <v>21</v>
      </c>
      <c r="K74" t="s">
        <v>52</v>
      </c>
      <c r="L74" t="s">
        <v>66</v>
      </c>
      <c r="O74">
        <v>82</v>
      </c>
      <c r="P74" t="s">
        <v>81</v>
      </c>
      <c r="Q74" t="s">
        <v>85</v>
      </c>
      <c r="R74" t="s">
        <v>93</v>
      </c>
      <c r="S74" t="s">
        <v>107</v>
      </c>
      <c r="T74" t="s">
        <v>114</v>
      </c>
    </row>
    <row r="75" spans="1:20">
      <c r="A75" t="s">
        <v>20</v>
      </c>
      <c r="B75" t="s">
        <v>27</v>
      </c>
      <c r="C75" t="s">
        <v>38</v>
      </c>
      <c r="E75" s="2">
        <v>46033.90422453704</v>
      </c>
      <c r="F75" s="2">
        <v>46033.90512731481</v>
      </c>
      <c r="G75" t="s">
        <v>50</v>
      </c>
      <c r="H75" t="s">
        <v>51</v>
      </c>
      <c r="I75">
        <v>9</v>
      </c>
      <c r="J75">
        <v>21</v>
      </c>
      <c r="K75" t="s">
        <v>52</v>
      </c>
      <c r="L75" t="s">
        <v>66</v>
      </c>
      <c r="O75">
        <v>78</v>
      </c>
      <c r="P75" t="s">
        <v>79</v>
      </c>
      <c r="Q75" t="s">
        <v>85</v>
      </c>
      <c r="R75" t="s">
        <v>91</v>
      </c>
      <c r="S75" t="s">
        <v>105</v>
      </c>
      <c r="T75" t="s">
        <v>114</v>
      </c>
    </row>
    <row r="76" spans="1:20">
      <c r="A76" t="s">
        <v>20</v>
      </c>
      <c r="B76" t="s">
        <v>27</v>
      </c>
      <c r="C76" t="s">
        <v>36</v>
      </c>
      <c r="E76" s="2">
        <v>46033.90512731481</v>
      </c>
      <c r="F76" s="2">
        <v>46033.91549768519</v>
      </c>
      <c r="G76" t="s">
        <v>50</v>
      </c>
      <c r="H76" t="s">
        <v>51</v>
      </c>
      <c r="I76">
        <v>9</v>
      </c>
      <c r="J76">
        <v>21</v>
      </c>
      <c r="K76" t="s">
        <v>52</v>
      </c>
      <c r="L76" t="s">
        <v>66</v>
      </c>
      <c r="O76">
        <v>896</v>
      </c>
      <c r="P76" t="s">
        <v>79</v>
      </c>
      <c r="Q76" t="s">
        <v>85</v>
      </c>
      <c r="R76" t="s">
        <v>91</v>
      </c>
      <c r="S76" t="s">
        <v>105</v>
      </c>
      <c r="T76" t="s">
        <v>114</v>
      </c>
    </row>
    <row r="77" spans="1:20">
      <c r="A77" t="s">
        <v>24</v>
      </c>
      <c r="B77" t="s">
        <v>31</v>
      </c>
      <c r="C77" t="s">
        <v>38</v>
      </c>
      <c r="E77" s="2">
        <v>46033.90539351852</v>
      </c>
      <c r="F77" s="2">
        <v>46033.90690972222</v>
      </c>
      <c r="G77" t="s">
        <v>50</v>
      </c>
      <c r="H77" t="s">
        <v>51</v>
      </c>
      <c r="I77">
        <v>9</v>
      </c>
      <c r="J77">
        <v>21</v>
      </c>
      <c r="K77" t="s">
        <v>56</v>
      </c>
      <c r="L77" t="s">
        <v>67</v>
      </c>
      <c r="N77" t="s">
        <v>74</v>
      </c>
      <c r="O77">
        <v>131</v>
      </c>
      <c r="P77" t="s">
        <v>79</v>
      </c>
      <c r="Q77" t="s">
        <v>85</v>
      </c>
      <c r="R77" t="s">
        <v>91</v>
      </c>
      <c r="S77" t="s">
        <v>105</v>
      </c>
      <c r="T77" t="s">
        <v>114</v>
      </c>
    </row>
    <row r="78" spans="1:20">
      <c r="A78" t="s">
        <v>24</v>
      </c>
      <c r="B78" t="s">
        <v>31</v>
      </c>
      <c r="C78" t="s">
        <v>37</v>
      </c>
      <c r="E78" s="2">
        <v>46033.90690972222</v>
      </c>
      <c r="F78" s="2">
        <v>46033.9074537037</v>
      </c>
      <c r="G78" t="s">
        <v>50</v>
      </c>
      <c r="H78" t="s">
        <v>51</v>
      </c>
      <c r="I78">
        <v>9</v>
      </c>
      <c r="J78">
        <v>21</v>
      </c>
      <c r="K78" t="s">
        <v>56</v>
      </c>
      <c r="L78" t="s">
        <v>67</v>
      </c>
      <c r="N78" t="s">
        <v>75</v>
      </c>
      <c r="O78">
        <v>47</v>
      </c>
      <c r="P78" t="s">
        <v>81</v>
      </c>
      <c r="Q78" t="s">
        <v>85</v>
      </c>
      <c r="R78" t="s">
        <v>93</v>
      </c>
      <c r="S78" t="s">
        <v>107</v>
      </c>
      <c r="T78" t="s">
        <v>114</v>
      </c>
    </row>
    <row r="79" spans="1:20">
      <c r="A79" t="s">
        <v>24</v>
      </c>
      <c r="B79" t="s">
        <v>31</v>
      </c>
      <c r="C79" t="s">
        <v>37</v>
      </c>
      <c r="E79" s="2">
        <v>46033.9074537037</v>
      </c>
      <c r="F79" s="2">
        <v>46033.90746527778</v>
      </c>
      <c r="G79" t="s">
        <v>50</v>
      </c>
      <c r="H79" t="s">
        <v>51</v>
      </c>
      <c r="I79">
        <v>9</v>
      </c>
      <c r="J79">
        <v>21</v>
      </c>
      <c r="K79" t="s">
        <v>56</v>
      </c>
      <c r="L79" t="s">
        <v>67</v>
      </c>
      <c r="N79" t="s">
        <v>74</v>
      </c>
      <c r="O79">
        <v>1</v>
      </c>
      <c r="P79" t="s">
        <v>81</v>
      </c>
      <c r="Q79" t="s">
        <v>85</v>
      </c>
      <c r="R79" t="s">
        <v>93</v>
      </c>
      <c r="S79" t="s">
        <v>107</v>
      </c>
      <c r="T79" t="s">
        <v>114</v>
      </c>
    </row>
    <row r="80" spans="1:20">
      <c r="A80" t="s">
        <v>24</v>
      </c>
      <c r="B80" t="s">
        <v>31</v>
      </c>
      <c r="C80" t="s">
        <v>39</v>
      </c>
      <c r="E80" s="2">
        <v>46033.90746527778</v>
      </c>
      <c r="F80" s="2">
        <v>46033.90791666666</v>
      </c>
      <c r="G80" t="s">
        <v>50</v>
      </c>
      <c r="H80" t="s">
        <v>51</v>
      </c>
      <c r="I80">
        <v>9</v>
      </c>
      <c r="J80">
        <v>21</v>
      </c>
      <c r="K80" t="s">
        <v>56</v>
      </c>
      <c r="L80" t="s">
        <v>67</v>
      </c>
      <c r="N80" t="s">
        <v>74</v>
      </c>
      <c r="O80">
        <v>39</v>
      </c>
      <c r="P80" t="s">
        <v>81</v>
      </c>
      <c r="Q80" t="s">
        <v>85</v>
      </c>
      <c r="R80" t="s">
        <v>93</v>
      </c>
      <c r="S80" t="s">
        <v>107</v>
      </c>
      <c r="T80" t="s">
        <v>114</v>
      </c>
    </row>
    <row r="81" spans="1:20">
      <c r="A81" t="s">
        <v>24</v>
      </c>
      <c r="B81" t="s">
        <v>31</v>
      </c>
      <c r="C81" t="s">
        <v>37</v>
      </c>
      <c r="E81" s="2">
        <v>46033.90791666666</v>
      </c>
      <c r="F81" s="2">
        <v>46033.90829861111</v>
      </c>
      <c r="G81" t="s">
        <v>50</v>
      </c>
      <c r="H81" t="s">
        <v>51</v>
      </c>
      <c r="I81">
        <v>9</v>
      </c>
      <c r="J81">
        <v>21</v>
      </c>
      <c r="K81" t="s">
        <v>56</v>
      </c>
      <c r="L81" t="s">
        <v>67</v>
      </c>
      <c r="N81" t="s">
        <v>74</v>
      </c>
      <c r="O81">
        <v>33</v>
      </c>
      <c r="P81" t="s">
        <v>81</v>
      </c>
      <c r="Q81" t="s">
        <v>85</v>
      </c>
      <c r="R81" t="s">
        <v>93</v>
      </c>
      <c r="S81" t="s">
        <v>107</v>
      </c>
      <c r="T81" t="s">
        <v>114</v>
      </c>
    </row>
    <row r="82" spans="1:20">
      <c r="A82" t="s">
        <v>24</v>
      </c>
      <c r="B82" t="s">
        <v>31</v>
      </c>
      <c r="C82" t="s">
        <v>38</v>
      </c>
      <c r="E82" s="2">
        <v>46033.90829861111</v>
      </c>
      <c r="F82" s="2">
        <v>46033.90841435185</v>
      </c>
      <c r="G82" t="s">
        <v>50</v>
      </c>
      <c r="H82" t="s">
        <v>51</v>
      </c>
      <c r="I82">
        <v>9</v>
      </c>
      <c r="J82">
        <v>21</v>
      </c>
      <c r="K82" t="s">
        <v>56</v>
      </c>
      <c r="L82" t="s">
        <v>67</v>
      </c>
      <c r="N82" t="s">
        <v>74</v>
      </c>
      <c r="O82">
        <v>10</v>
      </c>
      <c r="P82" t="s">
        <v>79</v>
      </c>
      <c r="Q82" t="s">
        <v>85</v>
      </c>
      <c r="R82" t="s">
        <v>91</v>
      </c>
      <c r="S82" t="s">
        <v>105</v>
      </c>
      <c r="T82" t="s">
        <v>114</v>
      </c>
    </row>
    <row r="83" spans="1:20">
      <c r="A83" t="s">
        <v>24</v>
      </c>
      <c r="B83" t="s">
        <v>31</v>
      </c>
      <c r="C83" t="s">
        <v>36</v>
      </c>
      <c r="E83" s="2">
        <v>46033.90841435185</v>
      </c>
      <c r="F83" s="2">
        <v>46033.91666666666</v>
      </c>
      <c r="G83" t="s">
        <v>50</v>
      </c>
      <c r="H83" t="s">
        <v>51</v>
      </c>
      <c r="I83">
        <v>9</v>
      </c>
      <c r="J83">
        <v>21</v>
      </c>
      <c r="K83" t="s">
        <v>56</v>
      </c>
      <c r="L83" t="s">
        <v>67</v>
      </c>
      <c r="N83" t="s">
        <v>74</v>
      </c>
      <c r="O83">
        <v>713</v>
      </c>
      <c r="P83" t="s">
        <v>79</v>
      </c>
      <c r="Q83" t="s">
        <v>85</v>
      </c>
      <c r="R83" t="s">
        <v>91</v>
      </c>
      <c r="S83" t="s">
        <v>105</v>
      </c>
      <c r="T83" t="s">
        <v>114</v>
      </c>
    </row>
    <row r="84" spans="1:20">
      <c r="A84" t="s">
        <v>20</v>
      </c>
      <c r="B84" t="s">
        <v>27</v>
      </c>
      <c r="C84" t="s">
        <v>38</v>
      </c>
      <c r="E84" s="2">
        <v>46033.91549768519</v>
      </c>
      <c r="F84" s="2">
        <v>46033.91612268519</v>
      </c>
      <c r="G84" t="s">
        <v>50</v>
      </c>
      <c r="H84" t="s">
        <v>51</v>
      </c>
      <c r="I84">
        <v>9</v>
      </c>
      <c r="J84">
        <v>21</v>
      </c>
      <c r="K84" t="s">
        <v>52</v>
      </c>
      <c r="L84" t="s">
        <v>66</v>
      </c>
      <c r="O84">
        <v>54</v>
      </c>
      <c r="P84" t="s">
        <v>79</v>
      </c>
      <c r="Q84" t="s">
        <v>85</v>
      </c>
      <c r="R84" t="s">
        <v>91</v>
      </c>
      <c r="S84" t="s">
        <v>105</v>
      </c>
      <c r="T84" t="s">
        <v>114</v>
      </c>
    </row>
    <row r="85" spans="1:20">
      <c r="A85" t="s">
        <v>20</v>
      </c>
      <c r="B85" t="s">
        <v>27</v>
      </c>
      <c r="C85" t="s">
        <v>39</v>
      </c>
      <c r="E85" s="2">
        <v>46033.91612268519</v>
      </c>
      <c r="F85" s="2">
        <v>46033.91666666666</v>
      </c>
      <c r="G85" t="s">
        <v>50</v>
      </c>
      <c r="H85" t="s">
        <v>51</v>
      </c>
      <c r="I85">
        <v>9</v>
      </c>
      <c r="J85">
        <v>21</v>
      </c>
      <c r="K85" t="s">
        <v>52</v>
      </c>
      <c r="L85" t="s">
        <v>66</v>
      </c>
      <c r="O85">
        <v>47</v>
      </c>
      <c r="P85" t="s">
        <v>81</v>
      </c>
      <c r="Q85" t="s">
        <v>85</v>
      </c>
      <c r="R85" t="s">
        <v>93</v>
      </c>
      <c r="S85" t="s">
        <v>107</v>
      </c>
      <c r="T85" t="s">
        <v>114</v>
      </c>
    </row>
    <row r="86" spans="1:20">
      <c r="A86" t="s">
        <v>20</v>
      </c>
      <c r="B86" t="s">
        <v>27</v>
      </c>
      <c r="C86" t="s">
        <v>39</v>
      </c>
      <c r="E86" s="2">
        <v>46033.91666666666</v>
      </c>
      <c r="F86" s="2">
        <v>46033.91701388889</v>
      </c>
      <c r="G86" t="s">
        <v>50</v>
      </c>
      <c r="H86" t="s">
        <v>51</v>
      </c>
      <c r="I86">
        <v>10</v>
      </c>
      <c r="J86">
        <v>22</v>
      </c>
      <c r="K86" t="s">
        <v>52</v>
      </c>
      <c r="L86" t="s">
        <v>66</v>
      </c>
      <c r="O86">
        <v>30</v>
      </c>
      <c r="P86" t="s">
        <v>81</v>
      </c>
      <c r="Q86" t="s">
        <v>85</v>
      </c>
      <c r="R86" t="s">
        <v>93</v>
      </c>
      <c r="S86" t="s">
        <v>107</v>
      </c>
      <c r="T86" t="s">
        <v>114</v>
      </c>
    </row>
    <row r="87" spans="1:20">
      <c r="A87" t="s">
        <v>22</v>
      </c>
      <c r="B87" t="s">
        <v>29</v>
      </c>
      <c r="C87" t="s">
        <v>36</v>
      </c>
      <c r="E87" s="2">
        <v>46033.91666666666</v>
      </c>
      <c r="F87" s="2">
        <v>46033.92707175926</v>
      </c>
      <c r="G87" t="s">
        <v>50</v>
      </c>
      <c r="H87" t="s">
        <v>51</v>
      </c>
      <c r="I87">
        <v>10</v>
      </c>
      <c r="J87">
        <v>22</v>
      </c>
      <c r="K87" t="s">
        <v>54</v>
      </c>
      <c r="L87" t="s">
        <v>64</v>
      </c>
      <c r="M87" t="s">
        <v>69</v>
      </c>
      <c r="N87" t="s">
        <v>74</v>
      </c>
      <c r="O87">
        <v>899</v>
      </c>
      <c r="P87" t="s">
        <v>79</v>
      </c>
      <c r="Q87" t="s">
        <v>85</v>
      </c>
      <c r="R87" t="s">
        <v>91</v>
      </c>
      <c r="S87" t="s">
        <v>105</v>
      </c>
      <c r="T87" t="s">
        <v>114</v>
      </c>
    </row>
    <row r="88" spans="1:20">
      <c r="A88" t="s">
        <v>21</v>
      </c>
      <c r="B88" t="s">
        <v>28</v>
      </c>
      <c r="C88" t="s">
        <v>35</v>
      </c>
      <c r="D88" t="s">
        <v>40</v>
      </c>
      <c r="E88" s="2">
        <v>46033.91666666666</v>
      </c>
      <c r="F88" s="2">
        <v>46033.95833333334</v>
      </c>
      <c r="G88" t="s">
        <v>50</v>
      </c>
      <c r="H88" t="s">
        <v>51</v>
      </c>
      <c r="I88">
        <v>10</v>
      </c>
      <c r="J88">
        <v>22</v>
      </c>
      <c r="K88" t="s">
        <v>53</v>
      </c>
      <c r="L88" t="s">
        <v>58</v>
      </c>
      <c r="M88" t="s">
        <v>69</v>
      </c>
      <c r="N88" t="s">
        <v>74</v>
      </c>
      <c r="O88">
        <v>3600</v>
      </c>
      <c r="P88" t="s">
        <v>40</v>
      </c>
      <c r="Q88" t="s">
        <v>83</v>
      </c>
      <c r="R88" t="s">
        <v>87</v>
      </c>
      <c r="S88" t="s">
        <v>101</v>
      </c>
      <c r="T88" t="s">
        <v>115</v>
      </c>
    </row>
    <row r="89" spans="1:20">
      <c r="A89" t="s">
        <v>24</v>
      </c>
      <c r="B89" t="s">
        <v>31</v>
      </c>
      <c r="C89" t="s">
        <v>36</v>
      </c>
      <c r="E89" s="2">
        <v>46033.91666666666</v>
      </c>
      <c r="F89" s="2">
        <v>46033.93631944444</v>
      </c>
      <c r="G89" t="s">
        <v>50</v>
      </c>
      <c r="H89" t="s">
        <v>51</v>
      </c>
      <c r="I89">
        <v>10</v>
      </c>
      <c r="J89">
        <v>22</v>
      </c>
      <c r="K89" t="s">
        <v>56</v>
      </c>
      <c r="L89" t="s">
        <v>67</v>
      </c>
      <c r="N89" t="s">
        <v>74</v>
      </c>
      <c r="O89">
        <v>1698</v>
      </c>
      <c r="P89" t="s">
        <v>79</v>
      </c>
      <c r="Q89" t="s">
        <v>85</v>
      </c>
      <c r="R89" t="s">
        <v>91</v>
      </c>
      <c r="S89" t="s">
        <v>105</v>
      </c>
      <c r="T89" t="s">
        <v>114</v>
      </c>
    </row>
    <row r="90" spans="1:20">
      <c r="A90" t="s">
        <v>23</v>
      </c>
      <c r="B90" t="s">
        <v>30</v>
      </c>
      <c r="C90" t="s">
        <v>36</v>
      </c>
      <c r="E90" s="2">
        <v>46033.91666666666</v>
      </c>
      <c r="F90" s="2">
        <v>46033.91675925926</v>
      </c>
      <c r="G90" t="s">
        <v>50</v>
      </c>
      <c r="H90" t="s">
        <v>51</v>
      </c>
      <c r="I90">
        <v>10</v>
      </c>
      <c r="J90">
        <v>22</v>
      </c>
      <c r="K90" t="s">
        <v>55</v>
      </c>
      <c r="L90" t="s">
        <v>65</v>
      </c>
      <c r="M90" t="s">
        <v>69</v>
      </c>
      <c r="N90" t="s">
        <v>74</v>
      </c>
      <c r="O90">
        <v>8</v>
      </c>
      <c r="P90" t="s">
        <v>79</v>
      </c>
      <c r="Q90" t="s">
        <v>85</v>
      </c>
      <c r="R90" t="s">
        <v>91</v>
      </c>
      <c r="S90" t="s">
        <v>105</v>
      </c>
      <c r="T90" t="s">
        <v>114</v>
      </c>
    </row>
    <row r="91" spans="1:20">
      <c r="A91" t="s">
        <v>25</v>
      </c>
      <c r="B91" t="s">
        <v>32</v>
      </c>
      <c r="C91" t="s">
        <v>35</v>
      </c>
      <c r="D91" t="s">
        <v>44</v>
      </c>
      <c r="E91" s="2">
        <v>46033.91666666666</v>
      </c>
      <c r="F91" s="2">
        <v>46033.9253587963</v>
      </c>
      <c r="G91" t="s">
        <v>50</v>
      </c>
      <c r="H91" t="s">
        <v>51</v>
      </c>
      <c r="I91">
        <v>10</v>
      </c>
      <c r="J91">
        <v>22</v>
      </c>
      <c r="K91" t="s">
        <v>53</v>
      </c>
      <c r="L91" t="s">
        <v>62</v>
      </c>
      <c r="M91" t="s">
        <v>69</v>
      </c>
      <c r="N91" t="s">
        <v>74</v>
      </c>
      <c r="O91">
        <v>751</v>
      </c>
      <c r="P91" t="s">
        <v>44</v>
      </c>
      <c r="Q91" t="s">
        <v>84</v>
      </c>
      <c r="R91" t="s">
        <v>94</v>
      </c>
      <c r="S91" t="s">
        <v>108</v>
      </c>
      <c r="T91" t="s">
        <v>115</v>
      </c>
    </row>
    <row r="92" spans="1:20">
      <c r="A92" t="s">
        <v>26</v>
      </c>
      <c r="B92" t="s">
        <v>33</v>
      </c>
      <c r="C92" t="s">
        <v>38</v>
      </c>
      <c r="E92" s="2">
        <v>46033.91666666666</v>
      </c>
      <c r="F92" s="2">
        <v>46033.91755787037</v>
      </c>
      <c r="G92" t="s">
        <v>50</v>
      </c>
      <c r="H92" t="s">
        <v>51</v>
      </c>
      <c r="I92">
        <v>10</v>
      </c>
      <c r="J92">
        <v>22</v>
      </c>
      <c r="L92" t="s">
        <v>63</v>
      </c>
      <c r="M92" t="s">
        <v>71</v>
      </c>
      <c r="N92" t="s">
        <v>74</v>
      </c>
      <c r="O92">
        <v>77</v>
      </c>
      <c r="P92" t="s">
        <v>79</v>
      </c>
      <c r="Q92" t="s">
        <v>85</v>
      </c>
      <c r="R92" t="s">
        <v>91</v>
      </c>
      <c r="S92" t="s">
        <v>105</v>
      </c>
      <c r="T92" t="s">
        <v>114</v>
      </c>
    </row>
    <row r="93" spans="1:20">
      <c r="A93" t="s">
        <v>23</v>
      </c>
      <c r="B93" t="s">
        <v>30</v>
      </c>
      <c r="C93" t="s">
        <v>38</v>
      </c>
      <c r="E93" s="2">
        <v>46033.91675925926</v>
      </c>
      <c r="F93" s="2">
        <v>46033.91818287037</v>
      </c>
      <c r="G93" t="s">
        <v>50</v>
      </c>
      <c r="H93" t="s">
        <v>51</v>
      </c>
      <c r="I93">
        <v>10</v>
      </c>
      <c r="J93">
        <v>22</v>
      </c>
      <c r="K93" t="s">
        <v>55</v>
      </c>
      <c r="L93" t="s">
        <v>65</v>
      </c>
      <c r="M93" t="s">
        <v>69</v>
      </c>
      <c r="N93" t="s">
        <v>74</v>
      </c>
      <c r="O93">
        <v>123</v>
      </c>
      <c r="P93" t="s">
        <v>79</v>
      </c>
      <c r="Q93" t="s">
        <v>85</v>
      </c>
      <c r="R93" t="s">
        <v>91</v>
      </c>
      <c r="S93" t="s">
        <v>105</v>
      </c>
      <c r="T93" t="s">
        <v>114</v>
      </c>
    </row>
    <row r="94" spans="1:20">
      <c r="A94" t="s">
        <v>20</v>
      </c>
      <c r="B94" t="s">
        <v>27</v>
      </c>
      <c r="C94" t="s">
        <v>38</v>
      </c>
      <c r="E94" s="2">
        <v>46033.91701388889</v>
      </c>
      <c r="F94" s="2">
        <v>46033.91766203703</v>
      </c>
      <c r="G94" t="s">
        <v>50</v>
      </c>
      <c r="H94" t="s">
        <v>51</v>
      </c>
      <c r="I94">
        <v>10</v>
      </c>
      <c r="J94">
        <v>22</v>
      </c>
      <c r="K94" t="s">
        <v>52</v>
      </c>
      <c r="L94" t="s">
        <v>66</v>
      </c>
      <c r="O94">
        <v>56</v>
      </c>
      <c r="P94" t="s">
        <v>79</v>
      </c>
      <c r="Q94" t="s">
        <v>85</v>
      </c>
      <c r="R94" t="s">
        <v>91</v>
      </c>
      <c r="S94" t="s">
        <v>105</v>
      </c>
      <c r="T94" t="s">
        <v>114</v>
      </c>
    </row>
    <row r="95" spans="1:20">
      <c r="A95" t="s">
        <v>26</v>
      </c>
      <c r="B95" t="s">
        <v>33</v>
      </c>
      <c r="C95" t="s">
        <v>37</v>
      </c>
      <c r="E95" s="2">
        <v>46033.91755787037</v>
      </c>
      <c r="F95" s="2">
        <v>46033.91756944444</v>
      </c>
      <c r="G95" t="s">
        <v>50</v>
      </c>
      <c r="H95" t="s">
        <v>51</v>
      </c>
      <c r="I95">
        <v>10</v>
      </c>
      <c r="J95">
        <v>22</v>
      </c>
      <c r="L95" t="s">
        <v>63</v>
      </c>
      <c r="M95" t="s">
        <v>71</v>
      </c>
      <c r="N95" t="s">
        <v>74</v>
      </c>
      <c r="O95">
        <v>1</v>
      </c>
      <c r="P95" t="s">
        <v>81</v>
      </c>
      <c r="Q95" t="s">
        <v>85</v>
      </c>
      <c r="R95" t="s">
        <v>93</v>
      </c>
      <c r="S95" t="s">
        <v>107</v>
      </c>
      <c r="T95" t="s">
        <v>114</v>
      </c>
    </row>
    <row r="96" spans="1:20">
      <c r="A96" t="s">
        <v>26</v>
      </c>
      <c r="B96" t="s">
        <v>33</v>
      </c>
      <c r="C96" t="s">
        <v>37</v>
      </c>
      <c r="E96" s="2">
        <v>46033.91756944444</v>
      </c>
      <c r="F96" s="2">
        <v>46033.91780092593</v>
      </c>
      <c r="G96" t="s">
        <v>50</v>
      </c>
      <c r="H96" t="s">
        <v>51</v>
      </c>
      <c r="I96">
        <v>10</v>
      </c>
      <c r="J96">
        <v>22</v>
      </c>
      <c r="L96" t="s">
        <v>63</v>
      </c>
      <c r="M96" t="s">
        <v>73</v>
      </c>
      <c r="N96" t="s">
        <v>75</v>
      </c>
      <c r="O96">
        <v>20</v>
      </c>
      <c r="P96" t="s">
        <v>81</v>
      </c>
      <c r="Q96" t="s">
        <v>85</v>
      </c>
      <c r="R96" t="s">
        <v>93</v>
      </c>
      <c r="S96" t="s">
        <v>107</v>
      </c>
      <c r="T96" t="s">
        <v>114</v>
      </c>
    </row>
    <row r="97" spans="1:20">
      <c r="A97" t="s">
        <v>20</v>
      </c>
      <c r="B97" t="s">
        <v>27</v>
      </c>
      <c r="C97" t="s">
        <v>36</v>
      </c>
      <c r="E97" s="2">
        <v>46033.91766203703</v>
      </c>
      <c r="F97" s="2">
        <v>46033.9291087963</v>
      </c>
      <c r="G97" t="s">
        <v>50</v>
      </c>
      <c r="H97" t="s">
        <v>51</v>
      </c>
      <c r="I97">
        <v>10</v>
      </c>
      <c r="J97">
        <v>22</v>
      </c>
      <c r="K97" t="s">
        <v>52</v>
      </c>
      <c r="L97" t="s">
        <v>66</v>
      </c>
      <c r="O97">
        <v>989</v>
      </c>
      <c r="P97" t="s">
        <v>79</v>
      </c>
      <c r="Q97" t="s">
        <v>85</v>
      </c>
      <c r="R97" t="s">
        <v>91</v>
      </c>
      <c r="S97" t="s">
        <v>105</v>
      </c>
      <c r="T97" t="s">
        <v>114</v>
      </c>
    </row>
    <row r="98" spans="1:20">
      <c r="A98" t="s">
        <v>26</v>
      </c>
      <c r="B98" t="s">
        <v>33</v>
      </c>
      <c r="C98" t="s">
        <v>37</v>
      </c>
      <c r="E98" s="2">
        <v>46033.91780092593</v>
      </c>
      <c r="F98" s="2">
        <v>46033.9181712963</v>
      </c>
      <c r="G98" t="s">
        <v>50</v>
      </c>
      <c r="H98" t="s">
        <v>51</v>
      </c>
      <c r="I98">
        <v>10</v>
      </c>
      <c r="J98">
        <v>22</v>
      </c>
      <c r="L98" t="s">
        <v>63</v>
      </c>
      <c r="M98" t="s">
        <v>71</v>
      </c>
      <c r="N98" t="s">
        <v>74</v>
      </c>
      <c r="O98">
        <v>32</v>
      </c>
      <c r="P98" t="s">
        <v>81</v>
      </c>
      <c r="Q98" t="s">
        <v>85</v>
      </c>
      <c r="R98" t="s">
        <v>93</v>
      </c>
      <c r="S98" t="s">
        <v>107</v>
      </c>
      <c r="T98" t="s">
        <v>114</v>
      </c>
    </row>
    <row r="99" spans="1:20">
      <c r="A99" t="s">
        <v>26</v>
      </c>
      <c r="B99" t="s">
        <v>33</v>
      </c>
      <c r="C99" t="s">
        <v>39</v>
      </c>
      <c r="E99" s="2">
        <v>46033.9181712963</v>
      </c>
      <c r="F99" s="2">
        <v>46033.91912037037</v>
      </c>
      <c r="G99" t="s">
        <v>50</v>
      </c>
      <c r="H99" t="s">
        <v>51</v>
      </c>
      <c r="I99">
        <v>10</v>
      </c>
      <c r="J99">
        <v>22</v>
      </c>
      <c r="L99" t="s">
        <v>63</v>
      </c>
      <c r="M99" t="s">
        <v>71</v>
      </c>
      <c r="N99" t="s">
        <v>74</v>
      </c>
      <c r="O99">
        <v>82</v>
      </c>
      <c r="P99" t="s">
        <v>81</v>
      </c>
      <c r="Q99" t="s">
        <v>85</v>
      </c>
      <c r="R99" t="s">
        <v>93</v>
      </c>
      <c r="S99" t="s">
        <v>107</v>
      </c>
      <c r="T99" t="s">
        <v>114</v>
      </c>
    </row>
    <row r="100" spans="1:20">
      <c r="A100" t="s">
        <v>23</v>
      </c>
      <c r="B100" t="s">
        <v>30</v>
      </c>
      <c r="C100" t="s">
        <v>37</v>
      </c>
      <c r="E100" s="2">
        <v>46033.91818287037</v>
      </c>
      <c r="F100" s="2">
        <v>46033.91820601852</v>
      </c>
      <c r="G100" t="s">
        <v>50</v>
      </c>
      <c r="H100" t="s">
        <v>51</v>
      </c>
      <c r="I100">
        <v>10</v>
      </c>
      <c r="J100">
        <v>22</v>
      </c>
      <c r="K100" t="s">
        <v>55</v>
      </c>
      <c r="L100" t="s">
        <v>65</v>
      </c>
      <c r="M100" t="s">
        <v>69</v>
      </c>
      <c r="N100" t="s">
        <v>74</v>
      </c>
      <c r="O100">
        <v>2</v>
      </c>
      <c r="P100" t="s">
        <v>81</v>
      </c>
      <c r="Q100" t="s">
        <v>85</v>
      </c>
      <c r="R100" t="s">
        <v>93</v>
      </c>
      <c r="S100" t="s">
        <v>107</v>
      </c>
      <c r="T100" t="s">
        <v>114</v>
      </c>
    </row>
    <row r="101" spans="1:20">
      <c r="A101" t="s">
        <v>23</v>
      </c>
      <c r="B101" t="s">
        <v>30</v>
      </c>
      <c r="C101" t="s">
        <v>37</v>
      </c>
      <c r="E101" s="2">
        <v>46033.91820601852</v>
      </c>
      <c r="F101" s="2">
        <v>46033.9184837963</v>
      </c>
      <c r="G101" t="s">
        <v>50</v>
      </c>
      <c r="H101" t="s">
        <v>51</v>
      </c>
      <c r="I101">
        <v>10</v>
      </c>
      <c r="J101">
        <v>22</v>
      </c>
      <c r="K101" t="s">
        <v>55</v>
      </c>
      <c r="L101" t="s">
        <v>65</v>
      </c>
      <c r="M101" t="s">
        <v>69</v>
      </c>
      <c r="N101" t="s">
        <v>75</v>
      </c>
      <c r="O101">
        <v>24</v>
      </c>
      <c r="P101" t="s">
        <v>81</v>
      </c>
      <c r="Q101" t="s">
        <v>85</v>
      </c>
      <c r="R101" t="s">
        <v>93</v>
      </c>
      <c r="S101" t="s">
        <v>107</v>
      </c>
      <c r="T101" t="s">
        <v>114</v>
      </c>
    </row>
    <row r="102" spans="1:20">
      <c r="A102" t="s">
        <v>23</v>
      </c>
      <c r="B102" t="s">
        <v>30</v>
      </c>
      <c r="C102" t="s">
        <v>37</v>
      </c>
      <c r="E102" s="2">
        <v>46033.9184837963</v>
      </c>
      <c r="F102" s="2">
        <v>46033.91851851852</v>
      </c>
      <c r="G102" t="s">
        <v>50</v>
      </c>
      <c r="H102" t="s">
        <v>51</v>
      </c>
      <c r="I102">
        <v>10</v>
      </c>
      <c r="J102">
        <v>22</v>
      </c>
      <c r="K102" t="s">
        <v>55</v>
      </c>
      <c r="L102" t="s">
        <v>65</v>
      </c>
      <c r="M102" t="s">
        <v>69</v>
      </c>
      <c r="N102" t="s">
        <v>74</v>
      </c>
      <c r="O102">
        <v>3</v>
      </c>
      <c r="P102" t="s">
        <v>81</v>
      </c>
      <c r="Q102" t="s">
        <v>85</v>
      </c>
      <c r="R102" t="s">
        <v>93</v>
      </c>
      <c r="S102" t="s">
        <v>107</v>
      </c>
      <c r="T102" t="s">
        <v>114</v>
      </c>
    </row>
    <row r="103" spans="1:20">
      <c r="A103" t="s">
        <v>23</v>
      </c>
      <c r="B103" t="s">
        <v>30</v>
      </c>
      <c r="C103" t="s">
        <v>39</v>
      </c>
      <c r="E103" s="2">
        <v>46033.91851851852</v>
      </c>
      <c r="F103" s="2">
        <v>46033.9191087963</v>
      </c>
      <c r="G103" t="s">
        <v>50</v>
      </c>
      <c r="H103" t="s">
        <v>51</v>
      </c>
      <c r="I103">
        <v>10</v>
      </c>
      <c r="J103">
        <v>22</v>
      </c>
      <c r="K103" t="s">
        <v>55</v>
      </c>
      <c r="L103" t="s">
        <v>65</v>
      </c>
      <c r="M103" t="s">
        <v>69</v>
      </c>
      <c r="N103" t="s">
        <v>74</v>
      </c>
      <c r="O103">
        <v>51</v>
      </c>
      <c r="P103" t="s">
        <v>81</v>
      </c>
      <c r="Q103" t="s">
        <v>85</v>
      </c>
      <c r="R103" t="s">
        <v>93</v>
      </c>
      <c r="S103" t="s">
        <v>107</v>
      </c>
      <c r="T103" t="s">
        <v>114</v>
      </c>
    </row>
    <row r="104" spans="1:20">
      <c r="A104" t="s">
        <v>23</v>
      </c>
      <c r="B104" t="s">
        <v>30</v>
      </c>
      <c r="C104" t="s">
        <v>37</v>
      </c>
      <c r="E104" s="2">
        <v>46033.9191087963</v>
      </c>
      <c r="F104" s="2">
        <v>46033.91912037037</v>
      </c>
      <c r="G104" t="s">
        <v>50</v>
      </c>
      <c r="H104" t="s">
        <v>51</v>
      </c>
      <c r="I104">
        <v>10</v>
      </c>
      <c r="J104">
        <v>22</v>
      </c>
      <c r="K104" t="s">
        <v>55</v>
      </c>
      <c r="L104" t="s">
        <v>65</v>
      </c>
      <c r="M104" t="s">
        <v>69</v>
      </c>
      <c r="N104" t="s">
        <v>74</v>
      </c>
      <c r="O104">
        <v>1</v>
      </c>
      <c r="P104" t="s">
        <v>81</v>
      </c>
      <c r="Q104" t="s">
        <v>85</v>
      </c>
      <c r="R104" t="s">
        <v>93</v>
      </c>
      <c r="S104" t="s">
        <v>107</v>
      </c>
      <c r="T104" t="s">
        <v>114</v>
      </c>
    </row>
    <row r="105" spans="1:20">
      <c r="A105" t="s">
        <v>23</v>
      </c>
      <c r="B105" t="s">
        <v>30</v>
      </c>
      <c r="C105" t="s">
        <v>37</v>
      </c>
      <c r="E105" s="2">
        <v>46033.91912037037</v>
      </c>
      <c r="F105" s="2">
        <v>46033.91951388889</v>
      </c>
      <c r="G105" t="s">
        <v>50</v>
      </c>
      <c r="H105" t="s">
        <v>51</v>
      </c>
      <c r="I105">
        <v>10</v>
      </c>
      <c r="J105">
        <v>22</v>
      </c>
      <c r="K105" t="s">
        <v>55</v>
      </c>
      <c r="L105" t="s">
        <v>65</v>
      </c>
      <c r="M105" t="s">
        <v>69</v>
      </c>
      <c r="N105" t="s">
        <v>76</v>
      </c>
      <c r="O105">
        <v>34</v>
      </c>
      <c r="P105" t="s">
        <v>81</v>
      </c>
      <c r="Q105" t="s">
        <v>85</v>
      </c>
      <c r="R105" t="s">
        <v>93</v>
      </c>
      <c r="S105" t="s">
        <v>107</v>
      </c>
      <c r="T105" t="s">
        <v>114</v>
      </c>
    </row>
    <row r="106" spans="1:20">
      <c r="A106" t="s">
        <v>26</v>
      </c>
      <c r="B106" t="s">
        <v>33</v>
      </c>
      <c r="C106" t="s">
        <v>37</v>
      </c>
      <c r="E106" s="2">
        <v>46033.91912037037</v>
      </c>
      <c r="F106" s="2">
        <v>46033.91914351852</v>
      </c>
      <c r="G106" t="s">
        <v>50</v>
      </c>
      <c r="H106" t="s">
        <v>51</v>
      </c>
      <c r="I106">
        <v>10</v>
      </c>
      <c r="J106">
        <v>22</v>
      </c>
      <c r="L106" t="s">
        <v>63</v>
      </c>
      <c r="M106" t="s">
        <v>71</v>
      </c>
      <c r="N106" t="s">
        <v>74</v>
      </c>
      <c r="O106">
        <v>2</v>
      </c>
      <c r="P106" t="s">
        <v>80</v>
      </c>
      <c r="Q106" t="s">
        <v>84</v>
      </c>
      <c r="R106" t="s">
        <v>92</v>
      </c>
      <c r="S106" t="s">
        <v>106</v>
      </c>
      <c r="T106" t="s">
        <v>115</v>
      </c>
    </row>
    <row r="107" spans="1:20">
      <c r="A107" t="s">
        <v>26</v>
      </c>
      <c r="B107" t="s">
        <v>33</v>
      </c>
      <c r="C107" t="s">
        <v>37</v>
      </c>
      <c r="E107" s="2">
        <v>46033.91914351852</v>
      </c>
      <c r="F107" s="2">
        <v>46033.919375</v>
      </c>
      <c r="G107" t="s">
        <v>50</v>
      </c>
      <c r="H107" t="s">
        <v>51</v>
      </c>
      <c r="I107">
        <v>10</v>
      </c>
      <c r="J107">
        <v>22</v>
      </c>
      <c r="L107" t="s">
        <v>63</v>
      </c>
      <c r="M107" t="s">
        <v>73</v>
      </c>
      <c r="N107" t="s">
        <v>76</v>
      </c>
      <c r="O107">
        <v>20</v>
      </c>
      <c r="P107" t="s">
        <v>80</v>
      </c>
      <c r="Q107" t="s">
        <v>84</v>
      </c>
      <c r="R107" t="s">
        <v>92</v>
      </c>
      <c r="S107" t="s">
        <v>106</v>
      </c>
      <c r="T107" t="s">
        <v>115</v>
      </c>
    </row>
    <row r="108" spans="1:20">
      <c r="A108" t="s">
        <v>26</v>
      </c>
      <c r="B108" t="s">
        <v>33</v>
      </c>
      <c r="C108" t="s">
        <v>37</v>
      </c>
      <c r="E108" s="2">
        <v>46033.919375</v>
      </c>
      <c r="F108" s="2">
        <v>46033.92010416667</v>
      </c>
      <c r="G108" t="s">
        <v>50</v>
      </c>
      <c r="H108" t="s">
        <v>51</v>
      </c>
      <c r="I108">
        <v>10</v>
      </c>
      <c r="J108">
        <v>22</v>
      </c>
      <c r="L108" t="s">
        <v>63</v>
      </c>
      <c r="M108" t="s">
        <v>69</v>
      </c>
      <c r="N108" t="s">
        <v>74</v>
      </c>
      <c r="O108">
        <v>63</v>
      </c>
      <c r="P108" t="s">
        <v>80</v>
      </c>
      <c r="Q108" t="s">
        <v>84</v>
      </c>
      <c r="R108" t="s">
        <v>92</v>
      </c>
      <c r="S108" t="s">
        <v>106</v>
      </c>
      <c r="T108" t="s">
        <v>115</v>
      </c>
    </row>
    <row r="109" spans="1:20">
      <c r="A109" t="s">
        <v>23</v>
      </c>
      <c r="B109" t="s">
        <v>30</v>
      </c>
      <c r="C109" t="s">
        <v>37</v>
      </c>
      <c r="E109" s="2">
        <v>46033.91951388889</v>
      </c>
      <c r="F109" s="2">
        <v>46033.91966435185</v>
      </c>
      <c r="G109" t="s">
        <v>50</v>
      </c>
      <c r="H109" t="s">
        <v>51</v>
      </c>
      <c r="I109">
        <v>10</v>
      </c>
      <c r="J109">
        <v>22</v>
      </c>
      <c r="K109" t="s">
        <v>55</v>
      </c>
      <c r="L109" t="s">
        <v>65</v>
      </c>
      <c r="M109" t="s">
        <v>69</v>
      </c>
      <c r="N109" t="s">
        <v>74</v>
      </c>
      <c r="O109">
        <v>13</v>
      </c>
      <c r="P109" t="s">
        <v>81</v>
      </c>
      <c r="Q109" t="s">
        <v>85</v>
      </c>
      <c r="R109" t="s">
        <v>93</v>
      </c>
      <c r="S109" t="s">
        <v>107</v>
      </c>
      <c r="T109" t="s">
        <v>114</v>
      </c>
    </row>
    <row r="110" spans="1:20">
      <c r="A110" t="s">
        <v>23</v>
      </c>
      <c r="B110" t="s">
        <v>30</v>
      </c>
      <c r="C110" t="s">
        <v>38</v>
      </c>
      <c r="E110" s="2">
        <v>46033.91966435185</v>
      </c>
      <c r="F110" s="2">
        <v>46033.91988425926</v>
      </c>
      <c r="G110" t="s">
        <v>50</v>
      </c>
      <c r="H110" t="s">
        <v>51</v>
      </c>
      <c r="I110">
        <v>10</v>
      </c>
      <c r="J110">
        <v>22</v>
      </c>
      <c r="K110" t="s">
        <v>55</v>
      </c>
      <c r="L110" t="s">
        <v>65</v>
      </c>
      <c r="M110" t="s">
        <v>69</v>
      </c>
      <c r="N110" t="s">
        <v>74</v>
      </c>
      <c r="O110">
        <v>19</v>
      </c>
      <c r="P110" t="s">
        <v>79</v>
      </c>
      <c r="Q110" t="s">
        <v>85</v>
      </c>
      <c r="R110" t="s">
        <v>91</v>
      </c>
      <c r="S110" t="s">
        <v>105</v>
      </c>
      <c r="T110" t="s">
        <v>114</v>
      </c>
    </row>
    <row r="111" spans="1:20">
      <c r="A111" t="s">
        <v>23</v>
      </c>
      <c r="B111" t="s">
        <v>30</v>
      </c>
      <c r="C111" t="s">
        <v>36</v>
      </c>
      <c r="E111" s="2">
        <v>46033.91988425926</v>
      </c>
      <c r="F111" s="2">
        <v>46033.94232638889</v>
      </c>
      <c r="G111" t="s">
        <v>50</v>
      </c>
      <c r="H111" t="s">
        <v>51</v>
      </c>
      <c r="I111">
        <v>10</v>
      </c>
      <c r="J111">
        <v>22</v>
      </c>
      <c r="K111" t="s">
        <v>55</v>
      </c>
      <c r="L111" t="s">
        <v>65</v>
      </c>
      <c r="M111" t="s">
        <v>69</v>
      </c>
      <c r="N111" t="s">
        <v>74</v>
      </c>
      <c r="O111">
        <v>1939</v>
      </c>
      <c r="P111" t="s">
        <v>79</v>
      </c>
      <c r="Q111" t="s">
        <v>85</v>
      </c>
      <c r="R111" t="s">
        <v>91</v>
      </c>
      <c r="S111" t="s">
        <v>105</v>
      </c>
      <c r="T111" t="s">
        <v>114</v>
      </c>
    </row>
    <row r="112" spans="1:20">
      <c r="A112" t="s">
        <v>26</v>
      </c>
      <c r="B112" t="s">
        <v>33</v>
      </c>
      <c r="C112" t="s">
        <v>37</v>
      </c>
      <c r="E112" s="2">
        <v>46033.92010416667</v>
      </c>
      <c r="F112" s="2">
        <v>46033.92013888889</v>
      </c>
      <c r="G112" t="s">
        <v>50</v>
      </c>
      <c r="H112" t="s">
        <v>51</v>
      </c>
      <c r="I112">
        <v>10</v>
      </c>
      <c r="J112">
        <v>22</v>
      </c>
      <c r="L112" t="s">
        <v>63</v>
      </c>
      <c r="M112" t="s">
        <v>70</v>
      </c>
      <c r="N112" t="s">
        <v>74</v>
      </c>
      <c r="O112">
        <v>3</v>
      </c>
      <c r="P112" t="s">
        <v>80</v>
      </c>
      <c r="Q112" t="s">
        <v>84</v>
      </c>
      <c r="R112" t="s">
        <v>92</v>
      </c>
      <c r="S112" t="s">
        <v>106</v>
      </c>
      <c r="T112" t="s">
        <v>115</v>
      </c>
    </row>
    <row r="113" spans="1:20">
      <c r="A113" t="s">
        <v>26</v>
      </c>
      <c r="B113" t="s">
        <v>33</v>
      </c>
      <c r="C113" t="s">
        <v>37</v>
      </c>
      <c r="E113" s="2">
        <v>46033.92013888889</v>
      </c>
      <c r="F113" s="2">
        <v>46033.92065972222</v>
      </c>
      <c r="G113" t="s">
        <v>50</v>
      </c>
      <c r="H113" t="s">
        <v>51</v>
      </c>
      <c r="I113">
        <v>10</v>
      </c>
      <c r="J113">
        <v>22</v>
      </c>
      <c r="L113" t="s">
        <v>63</v>
      </c>
      <c r="M113" t="s">
        <v>69</v>
      </c>
      <c r="N113" t="s">
        <v>74</v>
      </c>
      <c r="O113">
        <v>45</v>
      </c>
      <c r="P113" t="s">
        <v>80</v>
      </c>
      <c r="Q113" t="s">
        <v>84</v>
      </c>
      <c r="R113" t="s">
        <v>92</v>
      </c>
      <c r="S113" t="s">
        <v>106</v>
      </c>
      <c r="T113" t="s">
        <v>115</v>
      </c>
    </row>
    <row r="114" spans="1:20">
      <c r="A114" t="s">
        <v>26</v>
      </c>
      <c r="B114" t="s">
        <v>33</v>
      </c>
      <c r="C114" t="s">
        <v>37</v>
      </c>
      <c r="E114" s="2">
        <v>46033.92065972222</v>
      </c>
      <c r="F114" s="2">
        <v>46033.92078703704</v>
      </c>
      <c r="G114" t="s">
        <v>50</v>
      </c>
      <c r="H114" t="s">
        <v>51</v>
      </c>
      <c r="I114">
        <v>10</v>
      </c>
      <c r="J114">
        <v>22</v>
      </c>
      <c r="L114" t="s">
        <v>63</v>
      </c>
      <c r="M114" t="s">
        <v>69</v>
      </c>
      <c r="N114" t="s">
        <v>75</v>
      </c>
      <c r="O114">
        <v>11</v>
      </c>
      <c r="P114" t="s">
        <v>80</v>
      </c>
      <c r="Q114" t="s">
        <v>84</v>
      </c>
      <c r="R114" t="s">
        <v>92</v>
      </c>
      <c r="S114" t="s">
        <v>106</v>
      </c>
      <c r="T114" t="s">
        <v>115</v>
      </c>
    </row>
    <row r="115" spans="1:20">
      <c r="A115" t="s">
        <v>26</v>
      </c>
      <c r="B115" t="s">
        <v>33</v>
      </c>
      <c r="C115" t="s">
        <v>37</v>
      </c>
      <c r="E115" s="2">
        <v>46033.92078703704</v>
      </c>
      <c r="F115" s="2">
        <v>46033.92084490741</v>
      </c>
      <c r="G115" t="s">
        <v>50</v>
      </c>
      <c r="H115" t="s">
        <v>51</v>
      </c>
      <c r="I115">
        <v>10</v>
      </c>
      <c r="J115">
        <v>22</v>
      </c>
      <c r="L115" t="s">
        <v>63</v>
      </c>
      <c r="M115" t="s">
        <v>69</v>
      </c>
      <c r="N115" t="s">
        <v>74</v>
      </c>
      <c r="O115">
        <v>5</v>
      </c>
      <c r="P115" t="s">
        <v>80</v>
      </c>
      <c r="Q115" t="s">
        <v>84</v>
      </c>
      <c r="R115" t="s">
        <v>92</v>
      </c>
      <c r="S115" t="s">
        <v>106</v>
      </c>
      <c r="T115" t="s">
        <v>115</v>
      </c>
    </row>
    <row r="116" spans="1:20">
      <c r="A116" t="s">
        <v>26</v>
      </c>
      <c r="B116" t="s">
        <v>33</v>
      </c>
      <c r="C116" t="s">
        <v>37</v>
      </c>
      <c r="E116" s="2">
        <v>46033.92084490741</v>
      </c>
      <c r="F116" s="2">
        <v>46033.92130787037</v>
      </c>
      <c r="G116" t="s">
        <v>50</v>
      </c>
      <c r="H116" t="s">
        <v>51</v>
      </c>
      <c r="I116">
        <v>10</v>
      </c>
      <c r="J116">
        <v>22</v>
      </c>
      <c r="L116" t="s">
        <v>63</v>
      </c>
      <c r="M116" t="s">
        <v>69</v>
      </c>
      <c r="N116" t="s">
        <v>76</v>
      </c>
      <c r="O116">
        <v>40</v>
      </c>
      <c r="P116" t="s">
        <v>80</v>
      </c>
      <c r="Q116" t="s">
        <v>84</v>
      </c>
      <c r="R116" t="s">
        <v>92</v>
      </c>
      <c r="S116" t="s">
        <v>106</v>
      </c>
      <c r="T116" t="s">
        <v>115</v>
      </c>
    </row>
    <row r="117" spans="1:20">
      <c r="A117" t="s">
        <v>26</v>
      </c>
      <c r="B117" t="s">
        <v>33</v>
      </c>
      <c r="C117" t="s">
        <v>37</v>
      </c>
      <c r="E117" s="2">
        <v>46033.92130787037</v>
      </c>
      <c r="F117" s="2">
        <v>46033.92219907408</v>
      </c>
      <c r="G117" t="s">
        <v>50</v>
      </c>
      <c r="H117" t="s">
        <v>51</v>
      </c>
      <c r="I117">
        <v>10</v>
      </c>
      <c r="J117">
        <v>22</v>
      </c>
      <c r="L117" t="s">
        <v>63</v>
      </c>
      <c r="M117" t="s">
        <v>69</v>
      </c>
      <c r="N117" t="s">
        <v>74</v>
      </c>
      <c r="O117">
        <v>77</v>
      </c>
      <c r="P117" t="s">
        <v>80</v>
      </c>
      <c r="Q117" t="s">
        <v>84</v>
      </c>
      <c r="R117" t="s">
        <v>92</v>
      </c>
      <c r="S117" t="s">
        <v>106</v>
      </c>
      <c r="T117" t="s">
        <v>115</v>
      </c>
    </row>
    <row r="118" spans="1:20">
      <c r="A118" t="s">
        <v>26</v>
      </c>
      <c r="B118" t="s">
        <v>33</v>
      </c>
      <c r="C118" t="s">
        <v>38</v>
      </c>
      <c r="E118" s="2">
        <v>46033.92219907408</v>
      </c>
      <c r="F118" s="2">
        <v>46033.92776620371</v>
      </c>
      <c r="G118" t="s">
        <v>50</v>
      </c>
      <c r="H118" t="s">
        <v>51</v>
      </c>
      <c r="I118">
        <v>10</v>
      </c>
      <c r="J118">
        <v>22</v>
      </c>
      <c r="L118" t="s">
        <v>63</v>
      </c>
      <c r="M118" t="s">
        <v>69</v>
      </c>
      <c r="N118" t="s">
        <v>74</v>
      </c>
      <c r="O118">
        <v>481</v>
      </c>
      <c r="P118" t="s">
        <v>79</v>
      </c>
      <c r="Q118" t="s">
        <v>85</v>
      </c>
      <c r="R118" t="s">
        <v>91</v>
      </c>
      <c r="S118" t="s">
        <v>105</v>
      </c>
      <c r="T118" t="s">
        <v>114</v>
      </c>
    </row>
    <row r="119" spans="1:20">
      <c r="A119" t="s">
        <v>25</v>
      </c>
      <c r="B119" t="s">
        <v>32</v>
      </c>
      <c r="C119" t="s">
        <v>35</v>
      </c>
      <c r="D119" t="s">
        <v>44</v>
      </c>
      <c r="E119" s="2">
        <v>46033.9253587963</v>
      </c>
      <c r="F119" s="2">
        <v>46033.92614583333</v>
      </c>
      <c r="G119" t="s">
        <v>50</v>
      </c>
      <c r="H119" t="s">
        <v>51</v>
      </c>
      <c r="I119">
        <v>10</v>
      </c>
      <c r="J119">
        <v>22</v>
      </c>
      <c r="K119" t="s">
        <v>53</v>
      </c>
      <c r="L119" t="s">
        <v>62</v>
      </c>
      <c r="M119" t="s">
        <v>69</v>
      </c>
      <c r="N119" t="s">
        <v>74</v>
      </c>
      <c r="O119">
        <v>68</v>
      </c>
      <c r="P119" t="s">
        <v>44</v>
      </c>
      <c r="Q119" t="s">
        <v>84</v>
      </c>
      <c r="R119" t="s">
        <v>94</v>
      </c>
      <c r="S119" t="s">
        <v>108</v>
      </c>
      <c r="T119" t="s">
        <v>115</v>
      </c>
    </row>
    <row r="120" spans="1:20">
      <c r="A120" t="s">
        <v>25</v>
      </c>
      <c r="B120" t="s">
        <v>32</v>
      </c>
      <c r="C120" t="s">
        <v>35</v>
      </c>
      <c r="D120" t="s">
        <v>44</v>
      </c>
      <c r="E120" s="2">
        <v>46033.92614583333</v>
      </c>
      <c r="F120" s="2">
        <v>46033.92642361111</v>
      </c>
      <c r="G120" t="s">
        <v>50</v>
      </c>
      <c r="H120" t="s">
        <v>51</v>
      </c>
      <c r="I120">
        <v>10</v>
      </c>
      <c r="J120">
        <v>22</v>
      </c>
      <c r="K120" t="s">
        <v>53</v>
      </c>
      <c r="L120" t="s">
        <v>62</v>
      </c>
      <c r="M120" t="s">
        <v>69</v>
      </c>
      <c r="N120" t="s">
        <v>74</v>
      </c>
      <c r="O120">
        <v>24</v>
      </c>
      <c r="P120" t="s">
        <v>44</v>
      </c>
      <c r="Q120" t="s">
        <v>84</v>
      </c>
      <c r="R120" t="s">
        <v>94</v>
      </c>
      <c r="S120" t="s">
        <v>108</v>
      </c>
      <c r="T120" t="s">
        <v>115</v>
      </c>
    </row>
    <row r="121" spans="1:20">
      <c r="A121" t="s">
        <v>25</v>
      </c>
      <c r="B121" t="s">
        <v>32</v>
      </c>
      <c r="C121" t="s">
        <v>35</v>
      </c>
      <c r="D121" t="s">
        <v>44</v>
      </c>
      <c r="E121" s="2">
        <v>46033.92642361111</v>
      </c>
      <c r="F121" s="2">
        <v>46033.92834490741</v>
      </c>
      <c r="G121" t="s">
        <v>50</v>
      </c>
      <c r="H121" t="s">
        <v>51</v>
      </c>
      <c r="I121">
        <v>10</v>
      </c>
      <c r="J121">
        <v>22</v>
      </c>
      <c r="K121" t="s">
        <v>53</v>
      </c>
      <c r="L121" t="s">
        <v>62</v>
      </c>
      <c r="M121" t="s">
        <v>69</v>
      </c>
      <c r="N121" t="s">
        <v>74</v>
      </c>
      <c r="O121">
        <v>166</v>
      </c>
      <c r="P121" t="s">
        <v>44</v>
      </c>
      <c r="Q121" t="s">
        <v>84</v>
      </c>
      <c r="R121" t="s">
        <v>94</v>
      </c>
      <c r="S121" t="s">
        <v>108</v>
      </c>
      <c r="T121" t="s">
        <v>115</v>
      </c>
    </row>
    <row r="122" spans="1:20">
      <c r="A122" t="s">
        <v>22</v>
      </c>
      <c r="B122" t="s">
        <v>29</v>
      </c>
      <c r="C122" t="s">
        <v>38</v>
      </c>
      <c r="E122" s="2">
        <v>46033.92707175926</v>
      </c>
      <c r="F122" s="2">
        <v>46033.92849537037</v>
      </c>
      <c r="G122" t="s">
        <v>50</v>
      </c>
      <c r="H122" t="s">
        <v>51</v>
      </c>
      <c r="I122">
        <v>10</v>
      </c>
      <c r="J122">
        <v>22</v>
      </c>
      <c r="K122" t="s">
        <v>54</v>
      </c>
      <c r="L122" t="s">
        <v>64</v>
      </c>
      <c r="M122" t="s">
        <v>69</v>
      </c>
      <c r="N122" t="s">
        <v>74</v>
      </c>
      <c r="O122">
        <v>123</v>
      </c>
      <c r="P122" t="s">
        <v>79</v>
      </c>
      <c r="Q122" t="s">
        <v>85</v>
      </c>
      <c r="R122" t="s">
        <v>91</v>
      </c>
      <c r="S122" t="s">
        <v>105</v>
      </c>
      <c r="T122" t="s">
        <v>114</v>
      </c>
    </row>
    <row r="123" spans="1:20">
      <c r="A123" t="s">
        <v>26</v>
      </c>
      <c r="B123" t="s">
        <v>33</v>
      </c>
      <c r="C123" t="s">
        <v>38</v>
      </c>
      <c r="E123" s="2">
        <v>46033.92776620371</v>
      </c>
      <c r="F123" s="2">
        <v>46033.95658564815</v>
      </c>
      <c r="G123" t="s">
        <v>50</v>
      </c>
      <c r="H123" t="s">
        <v>51</v>
      </c>
      <c r="I123">
        <v>10</v>
      </c>
      <c r="J123">
        <v>22</v>
      </c>
      <c r="L123" t="s">
        <v>68</v>
      </c>
      <c r="M123" t="s">
        <v>69</v>
      </c>
      <c r="N123" t="s">
        <v>74</v>
      </c>
      <c r="O123">
        <v>2490</v>
      </c>
      <c r="P123" t="s">
        <v>79</v>
      </c>
      <c r="Q123" t="s">
        <v>85</v>
      </c>
      <c r="R123" t="s">
        <v>91</v>
      </c>
      <c r="S123" t="s">
        <v>105</v>
      </c>
      <c r="T123" t="s">
        <v>114</v>
      </c>
    </row>
    <row r="124" spans="1:20">
      <c r="A124" t="s">
        <v>25</v>
      </c>
      <c r="B124" t="s">
        <v>32</v>
      </c>
      <c r="C124" t="s">
        <v>35</v>
      </c>
      <c r="D124" t="s">
        <v>44</v>
      </c>
      <c r="E124" s="2">
        <v>46033.92834490741</v>
      </c>
      <c r="F124" s="2">
        <v>46033.92890046296</v>
      </c>
      <c r="G124" t="s">
        <v>50</v>
      </c>
      <c r="H124" t="s">
        <v>51</v>
      </c>
      <c r="I124">
        <v>10</v>
      </c>
      <c r="J124">
        <v>22</v>
      </c>
      <c r="K124" t="s">
        <v>53</v>
      </c>
      <c r="L124" t="s">
        <v>62</v>
      </c>
      <c r="M124" t="s">
        <v>69</v>
      </c>
      <c r="N124" t="s">
        <v>74</v>
      </c>
      <c r="O124">
        <v>48</v>
      </c>
      <c r="P124" t="s">
        <v>44</v>
      </c>
      <c r="Q124" t="s">
        <v>84</v>
      </c>
      <c r="R124" t="s">
        <v>94</v>
      </c>
      <c r="S124" t="s">
        <v>108</v>
      </c>
      <c r="T124" t="s">
        <v>115</v>
      </c>
    </row>
    <row r="125" spans="1:20">
      <c r="A125" t="s">
        <v>22</v>
      </c>
      <c r="B125" t="s">
        <v>29</v>
      </c>
      <c r="C125" t="s">
        <v>37</v>
      </c>
      <c r="E125" s="2">
        <v>46033.92849537037</v>
      </c>
      <c r="F125" s="2">
        <v>46033.92893518518</v>
      </c>
      <c r="G125" t="s">
        <v>50</v>
      </c>
      <c r="H125" t="s">
        <v>51</v>
      </c>
      <c r="I125">
        <v>10</v>
      </c>
      <c r="J125">
        <v>22</v>
      </c>
      <c r="K125" t="s">
        <v>54</v>
      </c>
      <c r="L125" t="s">
        <v>64</v>
      </c>
      <c r="M125" t="s">
        <v>69</v>
      </c>
      <c r="N125" t="s">
        <v>74</v>
      </c>
      <c r="O125">
        <v>38</v>
      </c>
      <c r="P125" t="s">
        <v>81</v>
      </c>
      <c r="Q125" t="s">
        <v>85</v>
      </c>
      <c r="R125" t="s">
        <v>93</v>
      </c>
      <c r="S125" t="s">
        <v>107</v>
      </c>
      <c r="T125" t="s">
        <v>114</v>
      </c>
    </row>
    <row r="126" spans="1:20">
      <c r="A126" t="s">
        <v>25</v>
      </c>
      <c r="B126" t="s">
        <v>32</v>
      </c>
      <c r="C126" t="s">
        <v>38</v>
      </c>
      <c r="E126" s="2">
        <v>46033.92890046296</v>
      </c>
      <c r="F126" s="2">
        <v>46033.95833333334</v>
      </c>
      <c r="G126" t="s">
        <v>50</v>
      </c>
      <c r="H126" t="s">
        <v>51</v>
      </c>
      <c r="I126">
        <v>10</v>
      </c>
      <c r="J126">
        <v>22</v>
      </c>
      <c r="K126" t="s">
        <v>53</v>
      </c>
      <c r="L126" t="s">
        <v>62</v>
      </c>
      <c r="M126" t="s">
        <v>69</v>
      </c>
      <c r="N126" t="s">
        <v>74</v>
      </c>
      <c r="O126">
        <v>2543</v>
      </c>
      <c r="P126" t="s">
        <v>79</v>
      </c>
      <c r="Q126" t="s">
        <v>85</v>
      </c>
      <c r="R126" t="s">
        <v>91</v>
      </c>
      <c r="S126" t="s">
        <v>105</v>
      </c>
      <c r="T126" t="s">
        <v>114</v>
      </c>
    </row>
    <row r="127" spans="1:20">
      <c r="A127" t="s">
        <v>22</v>
      </c>
      <c r="B127" t="s">
        <v>29</v>
      </c>
      <c r="C127" t="s">
        <v>39</v>
      </c>
      <c r="E127" s="2">
        <v>46033.92893518518</v>
      </c>
      <c r="F127" s="2">
        <v>46033.92923611111</v>
      </c>
      <c r="G127" t="s">
        <v>50</v>
      </c>
      <c r="H127" t="s">
        <v>51</v>
      </c>
      <c r="I127">
        <v>10</v>
      </c>
      <c r="J127">
        <v>22</v>
      </c>
      <c r="K127" t="s">
        <v>54</v>
      </c>
      <c r="L127" t="s">
        <v>64</v>
      </c>
      <c r="M127" t="s">
        <v>69</v>
      </c>
      <c r="N127" t="s">
        <v>74</v>
      </c>
      <c r="O127">
        <v>26</v>
      </c>
      <c r="P127" t="s">
        <v>81</v>
      </c>
      <c r="Q127" t="s">
        <v>85</v>
      </c>
      <c r="R127" t="s">
        <v>93</v>
      </c>
      <c r="S127" t="s">
        <v>107</v>
      </c>
      <c r="T127" t="s">
        <v>114</v>
      </c>
    </row>
    <row r="128" spans="1:20">
      <c r="A128" t="s">
        <v>20</v>
      </c>
      <c r="B128" t="s">
        <v>27</v>
      </c>
      <c r="C128" t="s">
        <v>38</v>
      </c>
      <c r="E128" s="2">
        <v>46033.9291087963</v>
      </c>
      <c r="F128" s="2">
        <v>46033.92990740741</v>
      </c>
      <c r="G128" t="s">
        <v>50</v>
      </c>
      <c r="H128" t="s">
        <v>51</v>
      </c>
      <c r="I128">
        <v>10</v>
      </c>
      <c r="J128">
        <v>22</v>
      </c>
      <c r="K128" t="s">
        <v>52</v>
      </c>
      <c r="L128" t="s">
        <v>66</v>
      </c>
      <c r="O128">
        <v>69</v>
      </c>
      <c r="P128" t="s">
        <v>79</v>
      </c>
      <c r="Q128" t="s">
        <v>85</v>
      </c>
      <c r="R128" t="s">
        <v>91</v>
      </c>
      <c r="S128" t="s">
        <v>105</v>
      </c>
      <c r="T128" t="s">
        <v>114</v>
      </c>
    </row>
    <row r="129" spans="1:20">
      <c r="A129" t="s">
        <v>22</v>
      </c>
      <c r="B129" t="s">
        <v>29</v>
      </c>
      <c r="C129" t="s">
        <v>37</v>
      </c>
      <c r="E129" s="2">
        <v>46033.92923611111</v>
      </c>
      <c r="F129" s="2">
        <v>46033.93032407408</v>
      </c>
      <c r="G129" t="s">
        <v>50</v>
      </c>
      <c r="H129" t="s">
        <v>51</v>
      </c>
      <c r="I129">
        <v>10</v>
      </c>
      <c r="J129">
        <v>22</v>
      </c>
      <c r="K129" t="s">
        <v>54</v>
      </c>
      <c r="L129" t="s">
        <v>64</v>
      </c>
      <c r="M129" t="s">
        <v>69</v>
      </c>
      <c r="N129" t="s">
        <v>74</v>
      </c>
      <c r="O129">
        <v>94</v>
      </c>
      <c r="P129" t="s">
        <v>81</v>
      </c>
      <c r="Q129" t="s">
        <v>85</v>
      </c>
      <c r="R129" t="s">
        <v>93</v>
      </c>
      <c r="S129" t="s">
        <v>107</v>
      </c>
      <c r="T129" t="s">
        <v>114</v>
      </c>
    </row>
    <row r="130" spans="1:20">
      <c r="A130" t="s">
        <v>20</v>
      </c>
      <c r="B130" t="s">
        <v>27</v>
      </c>
      <c r="C130" t="s">
        <v>39</v>
      </c>
      <c r="E130" s="2">
        <v>46033.92990740741</v>
      </c>
      <c r="F130" s="2">
        <v>46033.93039351852</v>
      </c>
      <c r="G130" t="s">
        <v>50</v>
      </c>
      <c r="H130" t="s">
        <v>51</v>
      </c>
      <c r="I130">
        <v>10</v>
      </c>
      <c r="J130">
        <v>22</v>
      </c>
      <c r="K130" t="s">
        <v>52</v>
      </c>
      <c r="L130" t="s">
        <v>66</v>
      </c>
      <c r="O130">
        <v>42</v>
      </c>
      <c r="P130" t="s">
        <v>81</v>
      </c>
      <c r="Q130" t="s">
        <v>85</v>
      </c>
      <c r="R130" t="s">
        <v>93</v>
      </c>
      <c r="S130" t="s">
        <v>107</v>
      </c>
      <c r="T130" t="s">
        <v>114</v>
      </c>
    </row>
    <row r="131" spans="1:20">
      <c r="A131" t="s">
        <v>22</v>
      </c>
      <c r="B131" t="s">
        <v>29</v>
      </c>
      <c r="C131" t="s">
        <v>38</v>
      </c>
      <c r="E131" s="2">
        <v>46033.93032407408</v>
      </c>
      <c r="F131" s="2">
        <v>46033.93061342592</v>
      </c>
      <c r="G131" t="s">
        <v>50</v>
      </c>
      <c r="H131" t="s">
        <v>51</v>
      </c>
      <c r="I131">
        <v>10</v>
      </c>
      <c r="J131">
        <v>22</v>
      </c>
      <c r="K131" t="s">
        <v>54</v>
      </c>
      <c r="L131" t="s">
        <v>64</v>
      </c>
      <c r="M131" t="s">
        <v>69</v>
      </c>
      <c r="N131" t="s">
        <v>74</v>
      </c>
      <c r="O131">
        <v>25</v>
      </c>
      <c r="P131" t="s">
        <v>79</v>
      </c>
      <c r="Q131" t="s">
        <v>85</v>
      </c>
      <c r="R131" t="s">
        <v>91</v>
      </c>
      <c r="S131" t="s">
        <v>105</v>
      </c>
      <c r="T131" t="s">
        <v>114</v>
      </c>
    </row>
    <row r="132" spans="1:20">
      <c r="A132" t="s">
        <v>20</v>
      </c>
      <c r="B132" t="s">
        <v>27</v>
      </c>
      <c r="C132" t="s">
        <v>38</v>
      </c>
      <c r="E132" s="2">
        <v>46033.93039351852</v>
      </c>
      <c r="F132" s="2">
        <v>46033.93296296296</v>
      </c>
      <c r="G132" t="s">
        <v>50</v>
      </c>
      <c r="H132" t="s">
        <v>51</v>
      </c>
      <c r="I132">
        <v>10</v>
      </c>
      <c r="J132">
        <v>22</v>
      </c>
      <c r="K132" t="s">
        <v>52</v>
      </c>
      <c r="L132" t="s">
        <v>66</v>
      </c>
      <c r="O132">
        <v>222</v>
      </c>
      <c r="P132" t="s">
        <v>79</v>
      </c>
      <c r="Q132" t="s">
        <v>85</v>
      </c>
      <c r="R132" t="s">
        <v>91</v>
      </c>
      <c r="S132" t="s">
        <v>105</v>
      </c>
      <c r="T132" t="s">
        <v>114</v>
      </c>
    </row>
    <row r="133" spans="1:20">
      <c r="A133" t="s">
        <v>22</v>
      </c>
      <c r="B133" t="s">
        <v>29</v>
      </c>
      <c r="C133" t="s">
        <v>36</v>
      </c>
      <c r="E133" s="2">
        <v>46033.93061342592</v>
      </c>
      <c r="F133" s="2">
        <v>46033.95806712963</v>
      </c>
      <c r="G133" t="s">
        <v>50</v>
      </c>
      <c r="H133" t="s">
        <v>51</v>
      </c>
      <c r="I133">
        <v>10</v>
      </c>
      <c r="J133">
        <v>22</v>
      </c>
      <c r="K133" t="s">
        <v>54</v>
      </c>
      <c r="L133" t="s">
        <v>64</v>
      </c>
      <c r="M133" t="s">
        <v>69</v>
      </c>
      <c r="N133" t="s">
        <v>74</v>
      </c>
      <c r="O133">
        <v>2372</v>
      </c>
      <c r="P133" t="s">
        <v>79</v>
      </c>
      <c r="Q133" t="s">
        <v>85</v>
      </c>
      <c r="R133" t="s">
        <v>91</v>
      </c>
      <c r="S133" t="s">
        <v>105</v>
      </c>
      <c r="T133" t="s">
        <v>114</v>
      </c>
    </row>
    <row r="134" spans="1:20">
      <c r="A134" t="s">
        <v>20</v>
      </c>
      <c r="B134" t="s">
        <v>27</v>
      </c>
      <c r="C134" t="s">
        <v>36</v>
      </c>
      <c r="E134" s="2">
        <v>46033.93296296296</v>
      </c>
      <c r="F134" s="2">
        <v>46033.94466435185</v>
      </c>
      <c r="G134" t="s">
        <v>50</v>
      </c>
      <c r="H134" t="s">
        <v>51</v>
      </c>
      <c r="I134">
        <v>10</v>
      </c>
      <c r="J134">
        <v>22</v>
      </c>
      <c r="K134" t="s">
        <v>52</v>
      </c>
      <c r="L134" t="s">
        <v>66</v>
      </c>
      <c r="O134">
        <v>1011</v>
      </c>
      <c r="P134" t="s">
        <v>79</v>
      </c>
      <c r="Q134" t="s">
        <v>85</v>
      </c>
      <c r="R134" t="s">
        <v>91</v>
      </c>
      <c r="S134" t="s">
        <v>105</v>
      </c>
      <c r="T134" t="s">
        <v>114</v>
      </c>
    </row>
    <row r="135" spans="1:20">
      <c r="A135" t="s">
        <v>24</v>
      </c>
      <c r="B135" t="s">
        <v>31</v>
      </c>
      <c r="C135" t="s">
        <v>38</v>
      </c>
      <c r="E135" s="2">
        <v>46033.93631944444</v>
      </c>
      <c r="F135" s="2">
        <v>46033.93771990741</v>
      </c>
      <c r="G135" t="s">
        <v>50</v>
      </c>
      <c r="H135" t="s">
        <v>51</v>
      </c>
      <c r="I135">
        <v>10</v>
      </c>
      <c r="J135">
        <v>22</v>
      </c>
      <c r="K135" t="s">
        <v>56</v>
      </c>
      <c r="L135" t="s">
        <v>67</v>
      </c>
      <c r="N135" t="s">
        <v>74</v>
      </c>
      <c r="O135">
        <v>121</v>
      </c>
      <c r="P135" t="s">
        <v>79</v>
      </c>
      <c r="Q135" t="s">
        <v>85</v>
      </c>
      <c r="R135" t="s">
        <v>91</v>
      </c>
      <c r="S135" t="s">
        <v>105</v>
      </c>
      <c r="T135" t="s">
        <v>114</v>
      </c>
    </row>
    <row r="136" spans="1:20">
      <c r="A136" t="s">
        <v>24</v>
      </c>
      <c r="B136" t="s">
        <v>31</v>
      </c>
      <c r="C136" t="s">
        <v>37</v>
      </c>
      <c r="E136" s="2">
        <v>46033.93771990741</v>
      </c>
      <c r="F136" s="2">
        <v>46033.93825231482</v>
      </c>
      <c r="G136" t="s">
        <v>50</v>
      </c>
      <c r="H136" t="s">
        <v>51</v>
      </c>
      <c r="I136">
        <v>10</v>
      </c>
      <c r="J136">
        <v>22</v>
      </c>
      <c r="K136" t="s">
        <v>56</v>
      </c>
      <c r="L136" t="s">
        <v>67</v>
      </c>
      <c r="N136" t="s">
        <v>74</v>
      </c>
      <c r="O136">
        <v>46</v>
      </c>
      <c r="P136" t="s">
        <v>81</v>
      </c>
      <c r="Q136" t="s">
        <v>85</v>
      </c>
      <c r="R136" t="s">
        <v>93</v>
      </c>
      <c r="S136" t="s">
        <v>107</v>
      </c>
      <c r="T136" t="s">
        <v>114</v>
      </c>
    </row>
    <row r="137" spans="1:20">
      <c r="A137" t="s">
        <v>24</v>
      </c>
      <c r="B137" t="s">
        <v>31</v>
      </c>
      <c r="C137" t="s">
        <v>39</v>
      </c>
      <c r="E137" s="2">
        <v>46033.93825231482</v>
      </c>
      <c r="F137" s="2">
        <v>46033.93869212963</v>
      </c>
      <c r="G137" t="s">
        <v>50</v>
      </c>
      <c r="H137" t="s">
        <v>51</v>
      </c>
      <c r="I137">
        <v>10</v>
      </c>
      <c r="J137">
        <v>22</v>
      </c>
      <c r="K137" t="s">
        <v>56</v>
      </c>
      <c r="L137" t="s">
        <v>67</v>
      </c>
      <c r="N137" t="s">
        <v>74</v>
      </c>
      <c r="O137">
        <v>38</v>
      </c>
      <c r="P137" t="s">
        <v>81</v>
      </c>
      <c r="Q137" t="s">
        <v>85</v>
      </c>
      <c r="R137" t="s">
        <v>93</v>
      </c>
      <c r="S137" t="s">
        <v>107</v>
      </c>
      <c r="T137" t="s">
        <v>114</v>
      </c>
    </row>
    <row r="138" spans="1:20">
      <c r="A138" t="s">
        <v>24</v>
      </c>
      <c r="B138" t="s">
        <v>31</v>
      </c>
      <c r="C138" t="s">
        <v>37</v>
      </c>
      <c r="E138" s="2">
        <v>46033.93869212963</v>
      </c>
      <c r="F138" s="2">
        <v>46033.93908564815</v>
      </c>
      <c r="G138" t="s">
        <v>50</v>
      </c>
      <c r="H138" t="s">
        <v>51</v>
      </c>
      <c r="I138">
        <v>10</v>
      </c>
      <c r="J138">
        <v>22</v>
      </c>
      <c r="K138" t="s">
        <v>56</v>
      </c>
      <c r="L138" t="s">
        <v>67</v>
      </c>
      <c r="N138" t="s">
        <v>74</v>
      </c>
      <c r="O138">
        <v>34</v>
      </c>
      <c r="P138" t="s">
        <v>81</v>
      </c>
      <c r="Q138" t="s">
        <v>85</v>
      </c>
      <c r="R138" t="s">
        <v>93</v>
      </c>
      <c r="S138" t="s">
        <v>107</v>
      </c>
      <c r="T138" t="s">
        <v>114</v>
      </c>
    </row>
    <row r="139" spans="1:20">
      <c r="A139" t="s">
        <v>24</v>
      </c>
      <c r="B139" t="s">
        <v>31</v>
      </c>
      <c r="C139" t="s">
        <v>38</v>
      </c>
      <c r="E139" s="2">
        <v>46033.93908564815</v>
      </c>
      <c r="F139" s="2">
        <v>46033.93922453704</v>
      </c>
      <c r="G139" t="s">
        <v>50</v>
      </c>
      <c r="H139" t="s">
        <v>51</v>
      </c>
      <c r="I139">
        <v>10</v>
      </c>
      <c r="J139">
        <v>22</v>
      </c>
      <c r="K139" t="s">
        <v>56</v>
      </c>
      <c r="L139" t="s">
        <v>67</v>
      </c>
      <c r="N139" t="s">
        <v>74</v>
      </c>
      <c r="O139">
        <v>12</v>
      </c>
      <c r="P139" t="s">
        <v>79</v>
      </c>
      <c r="Q139" t="s">
        <v>85</v>
      </c>
      <c r="R139" t="s">
        <v>91</v>
      </c>
      <c r="S139" t="s">
        <v>105</v>
      </c>
      <c r="T139" t="s">
        <v>114</v>
      </c>
    </row>
    <row r="140" spans="1:20">
      <c r="A140" t="s">
        <v>24</v>
      </c>
      <c r="B140" t="s">
        <v>31</v>
      </c>
      <c r="C140" t="s">
        <v>36</v>
      </c>
      <c r="E140" s="2">
        <v>46033.93922453704</v>
      </c>
      <c r="F140" s="2">
        <v>46033.94131944444</v>
      </c>
      <c r="G140" t="s">
        <v>50</v>
      </c>
      <c r="H140" t="s">
        <v>51</v>
      </c>
      <c r="I140">
        <v>10</v>
      </c>
      <c r="J140">
        <v>22</v>
      </c>
      <c r="K140" t="s">
        <v>56</v>
      </c>
      <c r="L140" t="s">
        <v>67</v>
      </c>
      <c r="N140" t="s">
        <v>74</v>
      </c>
      <c r="O140">
        <v>181</v>
      </c>
      <c r="P140" t="s">
        <v>79</v>
      </c>
      <c r="Q140" t="s">
        <v>85</v>
      </c>
      <c r="R140" t="s">
        <v>91</v>
      </c>
      <c r="S140" t="s">
        <v>105</v>
      </c>
      <c r="T140" t="s">
        <v>114</v>
      </c>
    </row>
    <row r="141" spans="1:20">
      <c r="A141" t="s">
        <v>24</v>
      </c>
      <c r="B141" t="s">
        <v>31</v>
      </c>
      <c r="C141" t="s">
        <v>35</v>
      </c>
      <c r="D141" t="s">
        <v>40</v>
      </c>
      <c r="E141" s="2">
        <v>46033.94131944444</v>
      </c>
      <c r="F141" s="2">
        <v>46033.94144675926</v>
      </c>
      <c r="G141" t="s">
        <v>50</v>
      </c>
      <c r="H141" t="s">
        <v>51</v>
      </c>
      <c r="I141">
        <v>10</v>
      </c>
      <c r="J141">
        <v>22</v>
      </c>
      <c r="K141" t="s">
        <v>56</v>
      </c>
      <c r="L141" t="s">
        <v>67</v>
      </c>
      <c r="N141" t="s">
        <v>74</v>
      </c>
      <c r="O141">
        <v>11</v>
      </c>
      <c r="P141" t="s">
        <v>40</v>
      </c>
      <c r="Q141" t="s">
        <v>83</v>
      </c>
      <c r="R141" t="s">
        <v>87</v>
      </c>
      <c r="S141" t="s">
        <v>101</v>
      </c>
      <c r="T141" t="s">
        <v>115</v>
      </c>
    </row>
    <row r="142" spans="1:20">
      <c r="A142" t="s">
        <v>24</v>
      </c>
      <c r="B142" t="s">
        <v>31</v>
      </c>
      <c r="C142" t="s">
        <v>35</v>
      </c>
      <c r="D142" t="s">
        <v>40</v>
      </c>
      <c r="E142" s="2">
        <v>46033.94144675926</v>
      </c>
      <c r="F142" s="2">
        <v>46033.9415625</v>
      </c>
      <c r="G142" t="s">
        <v>50</v>
      </c>
      <c r="H142" t="s">
        <v>51</v>
      </c>
      <c r="I142">
        <v>10</v>
      </c>
      <c r="J142">
        <v>22</v>
      </c>
      <c r="K142" t="s">
        <v>56</v>
      </c>
      <c r="L142" t="s">
        <v>67</v>
      </c>
      <c r="N142" t="s">
        <v>74</v>
      </c>
      <c r="O142">
        <v>10</v>
      </c>
      <c r="P142" t="s">
        <v>40</v>
      </c>
      <c r="Q142" t="s">
        <v>83</v>
      </c>
      <c r="R142" t="s">
        <v>87</v>
      </c>
      <c r="S142" t="s">
        <v>101</v>
      </c>
      <c r="T142" t="s">
        <v>115</v>
      </c>
    </row>
    <row r="143" spans="1:20">
      <c r="A143" t="s">
        <v>24</v>
      </c>
      <c r="B143" t="s">
        <v>31</v>
      </c>
      <c r="C143" t="s">
        <v>35</v>
      </c>
      <c r="D143" t="s">
        <v>40</v>
      </c>
      <c r="E143" s="2">
        <v>46033.9415625</v>
      </c>
      <c r="F143" s="2">
        <v>46033.95214120371</v>
      </c>
      <c r="G143" t="s">
        <v>50</v>
      </c>
      <c r="H143" t="s">
        <v>51</v>
      </c>
      <c r="I143">
        <v>10</v>
      </c>
      <c r="J143">
        <v>22</v>
      </c>
      <c r="K143" t="s">
        <v>56</v>
      </c>
      <c r="L143" t="s">
        <v>67</v>
      </c>
      <c r="N143" t="s">
        <v>74</v>
      </c>
      <c r="O143">
        <v>914</v>
      </c>
      <c r="P143" t="s">
        <v>40</v>
      </c>
      <c r="Q143" t="s">
        <v>83</v>
      </c>
      <c r="R143" t="s">
        <v>87</v>
      </c>
      <c r="S143" t="s">
        <v>101</v>
      </c>
      <c r="T143" t="s">
        <v>115</v>
      </c>
    </row>
    <row r="144" spans="1:20">
      <c r="A144" t="s">
        <v>23</v>
      </c>
      <c r="B144" t="s">
        <v>30</v>
      </c>
      <c r="C144" t="s">
        <v>38</v>
      </c>
      <c r="E144" s="2">
        <v>46033.94232638889</v>
      </c>
      <c r="F144" s="2">
        <v>46033.94284722222</v>
      </c>
      <c r="G144" t="s">
        <v>50</v>
      </c>
      <c r="H144" t="s">
        <v>51</v>
      </c>
      <c r="I144">
        <v>10</v>
      </c>
      <c r="J144">
        <v>22</v>
      </c>
      <c r="K144" t="s">
        <v>55</v>
      </c>
      <c r="L144" t="s">
        <v>65</v>
      </c>
      <c r="M144" t="s">
        <v>69</v>
      </c>
      <c r="N144" t="s">
        <v>74</v>
      </c>
      <c r="O144">
        <v>45</v>
      </c>
      <c r="P144" t="s">
        <v>79</v>
      </c>
      <c r="Q144" t="s">
        <v>85</v>
      </c>
      <c r="R144" t="s">
        <v>91</v>
      </c>
      <c r="S144" t="s">
        <v>105</v>
      </c>
      <c r="T144" t="s">
        <v>114</v>
      </c>
    </row>
    <row r="145" spans="1:20">
      <c r="A145" t="s">
        <v>23</v>
      </c>
      <c r="B145" t="s">
        <v>30</v>
      </c>
      <c r="C145" t="s">
        <v>37</v>
      </c>
      <c r="E145" s="2">
        <v>46033.94284722222</v>
      </c>
      <c r="F145" s="2">
        <v>46033.9428587963</v>
      </c>
      <c r="G145" t="s">
        <v>50</v>
      </c>
      <c r="H145" t="s">
        <v>51</v>
      </c>
      <c r="I145">
        <v>10</v>
      </c>
      <c r="J145">
        <v>22</v>
      </c>
      <c r="K145" t="s">
        <v>55</v>
      </c>
      <c r="L145" t="s">
        <v>65</v>
      </c>
      <c r="M145" t="s">
        <v>69</v>
      </c>
      <c r="N145" t="s">
        <v>74</v>
      </c>
      <c r="O145">
        <v>1</v>
      </c>
      <c r="P145" t="s">
        <v>81</v>
      </c>
      <c r="Q145" t="s">
        <v>85</v>
      </c>
      <c r="R145" t="s">
        <v>93</v>
      </c>
      <c r="S145" t="s">
        <v>107</v>
      </c>
      <c r="T145" t="s">
        <v>114</v>
      </c>
    </row>
    <row r="146" spans="1:20">
      <c r="A146" t="s">
        <v>23</v>
      </c>
      <c r="B146" t="s">
        <v>30</v>
      </c>
      <c r="C146" t="s">
        <v>37</v>
      </c>
      <c r="E146" s="2">
        <v>46033.9428587963</v>
      </c>
      <c r="F146" s="2">
        <v>46033.94305555556</v>
      </c>
      <c r="G146" t="s">
        <v>50</v>
      </c>
      <c r="H146" t="s">
        <v>51</v>
      </c>
      <c r="I146">
        <v>10</v>
      </c>
      <c r="J146">
        <v>22</v>
      </c>
      <c r="K146" t="s">
        <v>55</v>
      </c>
      <c r="L146" t="s">
        <v>65</v>
      </c>
      <c r="M146" t="s">
        <v>69</v>
      </c>
      <c r="N146" t="s">
        <v>75</v>
      </c>
      <c r="O146">
        <v>17</v>
      </c>
      <c r="P146" t="s">
        <v>81</v>
      </c>
      <c r="Q146" t="s">
        <v>85</v>
      </c>
      <c r="R146" t="s">
        <v>93</v>
      </c>
      <c r="S146" t="s">
        <v>107</v>
      </c>
      <c r="T146" t="s">
        <v>114</v>
      </c>
    </row>
    <row r="147" spans="1:20">
      <c r="A147" t="s">
        <v>23</v>
      </c>
      <c r="B147" t="s">
        <v>30</v>
      </c>
      <c r="C147" t="s">
        <v>37</v>
      </c>
      <c r="E147" s="2">
        <v>46033.94305555556</v>
      </c>
      <c r="F147" s="2">
        <v>46033.94313657407</v>
      </c>
      <c r="G147" t="s">
        <v>50</v>
      </c>
      <c r="H147" t="s">
        <v>51</v>
      </c>
      <c r="I147">
        <v>10</v>
      </c>
      <c r="J147">
        <v>22</v>
      </c>
      <c r="K147" t="s">
        <v>55</v>
      </c>
      <c r="L147" t="s">
        <v>65</v>
      </c>
      <c r="M147" t="s">
        <v>69</v>
      </c>
      <c r="N147" t="s">
        <v>74</v>
      </c>
      <c r="O147">
        <v>7</v>
      </c>
      <c r="P147" t="s">
        <v>81</v>
      </c>
      <c r="Q147" t="s">
        <v>85</v>
      </c>
      <c r="R147" t="s">
        <v>93</v>
      </c>
      <c r="S147" t="s">
        <v>107</v>
      </c>
      <c r="T147" t="s">
        <v>114</v>
      </c>
    </row>
    <row r="148" spans="1:20">
      <c r="A148" t="s">
        <v>23</v>
      </c>
      <c r="B148" t="s">
        <v>30</v>
      </c>
      <c r="C148" t="s">
        <v>39</v>
      </c>
      <c r="E148" s="2">
        <v>46033.94313657407</v>
      </c>
      <c r="F148" s="2">
        <v>46033.94349537037</v>
      </c>
      <c r="G148" t="s">
        <v>50</v>
      </c>
      <c r="H148" t="s">
        <v>51</v>
      </c>
      <c r="I148">
        <v>10</v>
      </c>
      <c r="J148">
        <v>22</v>
      </c>
      <c r="K148" t="s">
        <v>55</v>
      </c>
      <c r="L148" t="s">
        <v>65</v>
      </c>
      <c r="M148" t="s">
        <v>69</v>
      </c>
      <c r="N148" t="s">
        <v>74</v>
      </c>
      <c r="O148">
        <v>31</v>
      </c>
      <c r="P148" t="s">
        <v>81</v>
      </c>
      <c r="Q148" t="s">
        <v>85</v>
      </c>
      <c r="R148" t="s">
        <v>93</v>
      </c>
      <c r="S148" t="s">
        <v>107</v>
      </c>
      <c r="T148" t="s">
        <v>114</v>
      </c>
    </row>
    <row r="149" spans="1:20">
      <c r="A149" t="s">
        <v>23</v>
      </c>
      <c r="B149" t="s">
        <v>30</v>
      </c>
      <c r="C149" t="s">
        <v>37</v>
      </c>
      <c r="E149" s="2">
        <v>46033.94349537037</v>
      </c>
      <c r="F149" s="2">
        <v>46033.94350694444</v>
      </c>
      <c r="G149" t="s">
        <v>50</v>
      </c>
      <c r="H149" t="s">
        <v>51</v>
      </c>
      <c r="I149">
        <v>10</v>
      </c>
      <c r="J149">
        <v>22</v>
      </c>
      <c r="K149" t="s">
        <v>55</v>
      </c>
      <c r="L149" t="s">
        <v>65</v>
      </c>
      <c r="M149" t="s">
        <v>69</v>
      </c>
      <c r="N149" t="s">
        <v>74</v>
      </c>
      <c r="O149">
        <v>1</v>
      </c>
      <c r="P149" t="s">
        <v>81</v>
      </c>
      <c r="Q149" t="s">
        <v>85</v>
      </c>
      <c r="R149" t="s">
        <v>93</v>
      </c>
      <c r="S149" t="s">
        <v>107</v>
      </c>
      <c r="T149" t="s">
        <v>114</v>
      </c>
    </row>
    <row r="150" spans="1:20">
      <c r="A150" t="s">
        <v>23</v>
      </c>
      <c r="B150" t="s">
        <v>30</v>
      </c>
      <c r="C150" t="s">
        <v>37</v>
      </c>
      <c r="E150" s="2">
        <v>46033.94350694444</v>
      </c>
      <c r="F150" s="2">
        <v>46033.94390046296</v>
      </c>
      <c r="G150" t="s">
        <v>50</v>
      </c>
      <c r="H150" t="s">
        <v>51</v>
      </c>
      <c r="I150">
        <v>10</v>
      </c>
      <c r="J150">
        <v>22</v>
      </c>
      <c r="K150" t="s">
        <v>55</v>
      </c>
      <c r="L150" t="s">
        <v>65</v>
      </c>
      <c r="M150" t="s">
        <v>69</v>
      </c>
      <c r="N150" t="s">
        <v>76</v>
      </c>
      <c r="O150">
        <v>34</v>
      </c>
      <c r="P150" t="s">
        <v>81</v>
      </c>
      <c r="Q150" t="s">
        <v>85</v>
      </c>
      <c r="R150" t="s">
        <v>93</v>
      </c>
      <c r="S150" t="s">
        <v>107</v>
      </c>
      <c r="T150" t="s">
        <v>114</v>
      </c>
    </row>
    <row r="151" spans="1:20">
      <c r="A151" t="s">
        <v>23</v>
      </c>
      <c r="B151" t="s">
        <v>30</v>
      </c>
      <c r="C151" t="s">
        <v>37</v>
      </c>
      <c r="E151" s="2">
        <v>46033.94390046296</v>
      </c>
      <c r="F151" s="2">
        <v>46033.94393518518</v>
      </c>
      <c r="G151" t="s">
        <v>50</v>
      </c>
      <c r="H151" t="s">
        <v>51</v>
      </c>
      <c r="I151">
        <v>10</v>
      </c>
      <c r="J151">
        <v>22</v>
      </c>
      <c r="K151" t="s">
        <v>55</v>
      </c>
      <c r="L151" t="s">
        <v>65</v>
      </c>
      <c r="M151" t="s">
        <v>69</v>
      </c>
      <c r="N151" t="s">
        <v>74</v>
      </c>
      <c r="O151">
        <v>3</v>
      </c>
      <c r="P151" t="s">
        <v>81</v>
      </c>
      <c r="Q151" t="s">
        <v>85</v>
      </c>
      <c r="R151" t="s">
        <v>93</v>
      </c>
      <c r="S151" t="s">
        <v>107</v>
      </c>
      <c r="T151" t="s">
        <v>114</v>
      </c>
    </row>
    <row r="152" spans="1:20">
      <c r="A152" t="s">
        <v>23</v>
      </c>
      <c r="B152" t="s">
        <v>30</v>
      </c>
      <c r="C152" t="s">
        <v>38</v>
      </c>
      <c r="E152" s="2">
        <v>46033.94393518518</v>
      </c>
      <c r="F152" s="2">
        <v>46033.94413194444</v>
      </c>
      <c r="G152" t="s">
        <v>50</v>
      </c>
      <c r="H152" t="s">
        <v>51</v>
      </c>
      <c r="I152">
        <v>10</v>
      </c>
      <c r="J152">
        <v>22</v>
      </c>
      <c r="K152" t="s">
        <v>55</v>
      </c>
      <c r="L152" t="s">
        <v>65</v>
      </c>
      <c r="M152" t="s">
        <v>69</v>
      </c>
      <c r="N152" t="s">
        <v>74</v>
      </c>
      <c r="O152">
        <v>17</v>
      </c>
      <c r="P152" t="s">
        <v>79</v>
      </c>
      <c r="Q152" t="s">
        <v>85</v>
      </c>
      <c r="R152" t="s">
        <v>91</v>
      </c>
      <c r="S152" t="s">
        <v>105</v>
      </c>
      <c r="T152" t="s">
        <v>114</v>
      </c>
    </row>
    <row r="153" spans="1:20">
      <c r="A153" t="s">
        <v>23</v>
      </c>
      <c r="B153" t="s">
        <v>30</v>
      </c>
      <c r="C153" t="s">
        <v>36</v>
      </c>
      <c r="E153" s="2">
        <v>46033.94413194444</v>
      </c>
      <c r="F153" s="2">
        <v>46033.95833333334</v>
      </c>
      <c r="G153" t="s">
        <v>50</v>
      </c>
      <c r="H153" t="s">
        <v>51</v>
      </c>
      <c r="I153">
        <v>10</v>
      </c>
      <c r="J153">
        <v>22</v>
      </c>
      <c r="K153" t="s">
        <v>55</v>
      </c>
      <c r="L153" t="s">
        <v>65</v>
      </c>
      <c r="M153" t="s">
        <v>69</v>
      </c>
      <c r="N153" t="s">
        <v>74</v>
      </c>
      <c r="O153">
        <v>1227</v>
      </c>
      <c r="P153" t="s">
        <v>79</v>
      </c>
      <c r="Q153" t="s">
        <v>85</v>
      </c>
      <c r="R153" t="s">
        <v>91</v>
      </c>
      <c r="S153" t="s">
        <v>105</v>
      </c>
      <c r="T153" t="s">
        <v>114</v>
      </c>
    </row>
    <row r="154" spans="1:20">
      <c r="A154" t="s">
        <v>20</v>
      </c>
      <c r="B154" t="s">
        <v>27</v>
      </c>
      <c r="C154" t="s">
        <v>38</v>
      </c>
      <c r="E154" s="2">
        <v>46033.94466435185</v>
      </c>
      <c r="F154" s="2">
        <v>46033.94538194445</v>
      </c>
      <c r="G154" t="s">
        <v>50</v>
      </c>
      <c r="H154" t="s">
        <v>51</v>
      </c>
      <c r="I154">
        <v>10</v>
      </c>
      <c r="J154">
        <v>22</v>
      </c>
      <c r="K154" t="s">
        <v>52</v>
      </c>
      <c r="L154" t="s">
        <v>66</v>
      </c>
      <c r="O154">
        <v>62</v>
      </c>
      <c r="P154" t="s">
        <v>79</v>
      </c>
      <c r="Q154" t="s">
        <v>85</v>
      </c>
      <c r="R154" t="s">
        <v>91</v>
      </c>
      <c r="S154" t="s">
        <v>105</v>
      </c>
      <c r="T154" t="s">
        <v>114</v>
      </c>
    </row>
    <row r="155" spans="1:20">
      <c r="A155" t="s">
        <v>20</v>
      </c>
      <c r="B155" t="s">
        <v>27</v>
      </c>
      <c r="C155" t="s">
        <v>39</v>
      </c>
      <c r="E155" s="2">
        <v>46033.94538194445</v>
      </c>
      <c r="F155" s="2">
        <v>46033.94629629629</v>
      </c>
      <c r="G155" t="s">
        <v>50</v>
      </c>
      <c r="H155" t="s">
        <v>51</v>
      </c>
      <c r="I155">
        <v>10</v>
      </c>
      <c r="J155">
        <v>22</v>
      </c>
      <c r="K155" t="s">
        <v>52</v>
      </c>
      <c r="L155" t="s">
        <v>66</v>
      </c>
      <c r="O155">
        <v>79</v>
      </c>
      <c r="P155" t="s">
        <v>81</v>
      </c>
      <c r="Q155" t="s">
        <v>85</v>
      </c>
      <c r="R155" t="s">
        <v>93</v>
      </c>
      <c r="S155" t="s">
        <v>107</v>
      </c>
      <c r="T155" t="s">
        <v>114</v>
      </c>
    </row>
    <row r="156" spans="1:20">
      <c r="A156" t="s">
        <v>20</v>
      </c>
      <c r="B156" t="s">
        <v>27</v>
      </c>
      <c r="C156" t="s">
        <v>38</v>
      </c>
      <c r="E156" s="2">
        <v>46033.94629629629</v>
      </c>
      <c r="F156" s="2">
        <v>46033.94704861111</v>
      </c>
      <c r="G156" t="s">
        <v>50</v>
      </c>
      <c r="H156" t="s">
        <v>51</v>
      </c>
      <c r="I156">
        <v>10</v>
      </c>
      <c r="J156">
        <v>22</v>
      </c>
      <c r="K156" t="s">
        <v>52</v>
      </c>
      <c r="L156" t="s">
        <v>66</v>
      </c>
      <c r="O156">
        <v>65</v>
      </c>
      <c r="P156" t="s">
        <v>79</v>
      </c>
      <c r="Q156" t="s">
        <v>85</v>
      </c>
      <c r="R156" t="s">
        <v>91</v>
      </c>
      <c r="S156" t="s">
        <v>105</v>
      </c>
      <c r="T156" t="s">
        <v>114</v>
      </c>
    </row>
    <row r="157" spans="1:20">
      <c r="A157" t="s">
        <v>20</v>
      </c>
      <c r="B157" t="s">
        <v>27</v>
      </c>
      <c r="C157" t="s">
        <v>36</v>
      </c>
      <c r="E157" s="2">
        <v>46033.94704861111</v>
      </c>
      <c r="F157" s="2">
        <v>46033.95805555556</v>
      </c>
      <c r="G157" t="s">
        <v>50</v>
      </c>
      <c r="H157" t="s">
        <v>51</v>
      </c>
      <c r="I157">
        <v>10</v>
      </c>
      <c r="J157">
        <v>22</v>
      </c>
      <c r="K157" t="s">
        <v>52</v>
      </c>
      <c r="L157" t="s">
        <v>66</v>
      </c>
      <c r="O157">
        <v>951</v>
      </c>
      <c r="P157" t="s">
        <v>79</v>
      </c>
      <c r="Q157" t="s">
        <v>85</v>
      </c>
      <c r="R157" t="s">
        <v>91</v>
      </c>
      <c r="S157" t="s">
        <v>105</v>
      </c>
      <c r="T157" t="s">
        <v>114</v>
      </c>
    </row>
    <row r="158" spans="1:20">
      <c r="A158" t="s">
        <v>24</v>
      </c>
      <c r="B158" t="s">
        <v>31</v>
      </c>
      <c r="C158" t="s">
        <v>35</v>
      </c>
      <c r="D158" t="s">
        <v>40</v>
      </c>
      <c r="E158" s="2">
        <v>46033.95214120371</v>
      </c>
      <c r="F158" s="2">
        <v>46033.95255787037</v>
      </c>
      <c r="G158" t="s">
        <v>50</v>
      </c>
      <c r="H158" t="s">
        <v>51</v>
      </c>
      <c r="I158">
        <v>10</v>
      </c>
      <c r="J158">
        <v>22</v>
      </c>
      <c r="K158" t="s">
        <v>56</v>
      </c>
      <c r="L158" t="s">
        <v>67</v>
      </c>
      <c r="N158" t="s">
        <v>74</v>
      </c>
      <c r="O158">
        <v>36</v>
      </c>
      <c r="P158" t="s">
        <v>40</v>
      </c>
      <c r="Q158" t="s">
        <v>83</v>
      </c>
      <c r="R158" t="s">
        <v>87</v>
      </c>
      <c r="S158" t="s">
        <v>101</v>
      </c>
      <c r="T158" t="s">
        <v>115</v>
      </c>
    </row>
    <row r="159" spans="1:20">
      <c r="A159" t="s">
        <v>24</v>
      </c>
      <c r="B159" t="s">
        <v>31</v>
      </c>
      <c r="C159" t="s">
        <v>35</v>
      </c>
      <c r="D159" t="s">
        <v>40</v>
      </c>
      <c r="E159" s="2">
        <v>46033.95255787037</v>
      </c>
      <c r="F159" s="2">
        <v>46033.95353009259</v>
      </c>
      <c r="G159" t="s">
        <v>50</v>
      </c>
      <c r="H159" t="s">
        <v>51</v>
      </c>
      <c r="I159">
        <v>10</v>
      </c>
      <c r="J159">
        <v>22</v>
      </c>
      <c r="K159" t="s">
        <v>56</v>
      </c>
      <c r="L159" t="s">
        <v>67</v>
      </c>
      <c r="N159" t="s">
        <v>74</v>
      </c>
      <c r="O159">
        <v>84</v>
      </c>
      <c r="P159" t="s">
        <v>40</v>
      </c>
      <c r="Q159" t="s">
        <v>83</v>
      </c>
      <c r="R159" t="s">
        <v>87</v>
      </c>
      <c r="S159" t="s">
        <v>101</v>
      </c>
      <c r="T159" t="s">
        <v>115</v>
      </c>
    </row>
    <row r="160" spans="1:20">
      <c r="A160" t="s">
        <v>24</v>
      </c>
      <c r="B160" t="s">
        <v>31</v>
      </c>
      <c r="C160" t="s">
        <v>36</v>
      </c>
      <c r="E160" s="2">
        <v>46033.95353009259</v>
      </c>
      <c r="F160" s="2">
        <v>46033.95833333334</v>
      </c>
      <c r="G160" t="s">
        <v>50</v>
      </c>
      <c r="H160" t="s">
        <v>51</v>
      </c>
      <c r="I160">
        <v>10</v>
      </c>
      <c r="J160">
        <v>22</v>
      </c>
      <c r="K160" t="s">
        <v>56</v>
      </c>
      <c r="L160" t="s">
        <v>67</v>
      </c>
      <c r="N160" t="s">
        <v>74</v>
      </c>
      <c r="O160">
        <v>415</v>
      </c>
      <c r="P160" t="s">
        <v>79</v>
      </c>
      <c r="Q160" t="s">
        <v>85</v>
      </c>
      <c r="R160" t="s">
        <v>91</v>
      </c>
      <c r="S160" t="s">
        <v>105</v>
      </c>
      <c r="T160" t="s">
        <v>114</v>
      </c>
    </row>
    <row r="161" spans="1:20">
      <c r="A161" t="s">
        <v>26</v>
      </c>
      <c r="B161" t="s">
        <v>33</v>
      </c>
      <c r="C161" t="s">
        <v>37</v>
      </c>
      <c r="E161" s="2">
        <v>46033.95658564815</v>
      </c>
      <c r="F161" s="2">
        <v>46033.95659722222</v>
      </c>
      <c r="G161" t="s">
        <v>50</v>
      </c>
      <c r="H161" t="s">
        <v>51</v>
      </c>
      <c r="I161">
        <v>10</v>
      </c>
      <c r="J161">
        <v>22</v>
      </c>
      <c r="L161" t="s">
        <v>68</v>
      </c>
      <c r="M161" t="s">
        <v>69</v>
      </c>
      <c r="N161" t="s">
        <v>74</v>
      </c>
      <c r="O161">
        <v>1</v>
      </c>
      <c r="P161" t="s">
        <v>81</v>
      </c>
      <c r="Q161" t="s">
        <v>85</v>
      </c>
      <c r="R161" t="s">
        <v>93</v>
      </c>
      <c r="S161" t="s">
        <v>107</v>
      </c>
      <c r="T161" t="s">
        <v>114</v>
      </c>
    </row>
    <row r="162" spans="1:20">
      <c r="A162" t="s">
        <v>26</v>
      </c>
      <c r="B162" t="s">
        <v>33</v>
      </c>
      <c r="C162" t="s">
        <v>37</v>
      </c>
      <c r="E162" s="2">
        <v>46033.95659722222</v>
      </c>
      <c r="F162" s="2">
        <v>46033.9568287037</v>
      </c>
      <c r="G162" t="s">
        <v>50</v>
      </c>
      <c r="H162" t="s">
        <v>51</v>
      </c>
      <c r="I162">
        <v>10</v>
      </c>
      <c r="J162">
        <v>22</v>
      </c>
      <c r="L162" t="s">
        <v>68</v>
      </c>
      <c r="M162" t="s">
        <v>69</v>
      </c>
      <c r="N162" t="s">
        <v>75</v>
      </c>
      <c r="O162">
        <v>20</v>
      </c>
      <c r="P162" t="s">
        <v>81</v>
      </c>
      <c r="Q162" t="s">
        <v>85</v>
      </c>
      <c r="R162" t="s">
        <v>93</v>
      </c>
      <c r="S162" t="s">
        <v>107</v>
      </c>
      <c r="T162" t="s">
        <v>114</v>
      </c>
    </row>
    <row r="163" spans="1:20">
      <c r="A163" t="s">
        <v>26</v>
      </c>
      <c r="B163" t="s">
        <v>33</v>
      </c>
      <c r="C163" t="s">
        <v>37</v>
      </c>
      <c r="E163" s="2">
        <v>46033.9568287037</v>
      </c>
      <c r="F163" s="2">
        <v>46033.95688657407</v>
      </c>
      <c r="G163" t="s">
        <v>50</v>
      </c>
      <c r="H163" t="s">
        <v>51</v>
      </c>
      <c r="I163">
        <v>10</v>
      </c>
      <c r="J163">
        <v>22</v>
      </c>
      <c r="L163" t="s">
        <v>68</v>
      </c>
      <c r="M163" t="s">
        <v>69</v>
      </c>
      <c r="N163" t="s">
        <v>74</v>
      </c>
      <c r="O163">
        <v>5</v>
      </c>
      <c r="P163" t="s">
        <v>81</v>
      </c>
      <c r="Q163" t="s">
        <v>85</v>
      </c>
      <c r="R163" t="s">
        <v>93</v>
      </c>
      <c r="S163" t="s">
        <v>107</v>
      </c>
      <c r="T163" t="s">
        <v>114</v>
      </c>
    </row>
    <row r="164" spans="1:20">
      <c r="A164" t="s">
        <v>26</v>
      </c>
      <c r="B164" t="s">
        <v>33</v>
      </c>
      <c r="C164" t="s">
        <v>39</v>
      </c>
      <c r="E164" s="2">
        <v>46033.95688657407</v>
      </c>
      <c r="F164" s="2">
        <v>46033.95833333334</v>
      </c>
      <c r="G164" t="s">
        <v>50</v>
      </c>
      <c r="H164" t="s">
        <v>51</v>
      </c>
      <c r="I164">
        <v>10</v>
      </c>
      <c r="J164">
        <v>22</v>
      </c>
      <c r="L164" t="s">
        <v>68</v>
      </c>
      <c r="M164" t="s">
        <v>69</v>
      </c>
      <c r="N164" t="s">
        <v>74</v>
      </c>
      <c r="O164">
        <v>125</v>
      </c>
      <c r="P164" t="s">
        <v>81</v>
      </c>
      <c r="Q164" t="s">
        <v>85</v>
      </c>
      <c r="R164" t="s">
        <v>93</v>
      </c>
      <c r="S164" t="s">
        <v>107</v>
      </c>
      <c r="T164" t="s">
        <v>114</v>
      </c>
    </row>
    <row r="165" spans="1:20">
      <c r="A165" t="s">
        <v>20</v>
      </c>
      <c r="B165" t="s">
        <v>27</v>
      </c>
      <c r="C165" t="s">
        <v>38</v>
      </c>
      <c r="E165" s="2">
        <v>46033.95805555556</v>
      </c>
      <c r="F165" s="2">
        <v>46033.95833333334</v>
      </c>
      <c r="G165" t="s">
        <v>50</v>
      </c>
      <c r="H165" t="s">
        <v>51</v>
      </c>
      <c r="I165">
        <v>10</v>
      </c>
      <c r="J165">
        <v>22</v>
      </c>
      <c r="K165" t="s">
        <v>52</v>
      </c>
      <c r="L165" t="s">
        <v>66</v>
      </c>
      <c r="O165">
        <v>24</v>
      </c>
      <c r="P165" t="s">
        <v>79</v>
      </c>
      <c r="Q165" t="s">
        <v>85</v>
      </c>
      <c r="R165" t="s">
        <v>91</v>
      </c>
      <c r="S165" t="s">
        <v>105</v>
      </c>
      <c r="T165" t="s">
        <v>114</v>
      </c>
    </row>
    <row r="166" spans="1:20">
      <c r="A166" t="s">
        <v>22</v>
      </c>
      <c r="B166" t="s">
        <v>29</v>
      </c>
      <c r="C166" t="s">
        <v>38</v>
      </c>
      <c r="E166" s="2">
        <v>46033.95806712963</v>
      </c>
      <c r="F166" s="2">
        <v>46033.95833333334</v>
      </c>
      <c r="G166" t="s">
        <v>50</v>
      </c>
      <c r="H166" t="s">
        <v>51</v>
      </c>
      <c r="I166">
        <v>10</v>
      </c>
      <c r="J166">
        <v>22</v>
      </c>
      <c r="K166" t="s">
        <v>54</v>
      </c>
      <c r="L166" t="s">
        <v>64</v>
      </c>
      <c r="M166" t="s">
        <v>69</v>
      </c>
      <c r="N166" t="s">
        <v>74</v>
      </c>
      <c r="O166">
        <v>23</v>
      </c>
      <c r="P166" t="s">
        <v>79</v>
      </c>
      <c r="Q166" t="s">
        <v>85</v>
      </c>
      <c r="R166" t="s">
        <v>91</v>
      </c>
      <c r="S166" t="s">
        <v>105</v>
      </c>
      <c r="T166" t="s">
        <v>114</v>
      </c>
    </row>
    <row r="167" spans="1:20">
      <c r="A167" t="s">
        <v>22</v>
      </c>
      <c r="B167" t="s">
        <v>29</v>
      </c>
      <c r="C167" t="s">
        <v>38</v>
      </c>
      <c r="E167" s="2">
        <v>46033.95833333334</v>
      </c>
      <c r="F167" s="2">
        <v>46033.95876157407</v>
      </c>
      <c r="G167" t="s">
        <v>50</v>
      </c>
      <c r="H167" t="s">
        <v>51</v>
      </c>
      <c r="I167">
        <v>11</v>
      </c>
      <c r="J167">
        <v>23</v>
      </c>
      <c r="K167" t="s">
        <v>54</v>
      </c>
      <c r="L167" t="s">
        <v>64</v>
      </c>
      <c r="M167" t="s">
        <v>69</v>
      </c>
      <c r="N167" t="s">
        <v>74</v>
      </c>
      <c r="O167">
        <v>37</v>
      </c>
      <c r="P167" t="s">
        <v>79</v>
      </c>
      <c r="Q167" t="s">
        <v>85</v>
      </c>
      <c r="R167" t="s">
        <v>91</v>
      </c>
      <c r="S167" t="s">
        <v>105</v>
      </c>
      <c r="T167" t="s">
        <v>114</v>
      </c>
    </row>
    <row r="168" spans="1:20">
      <c r="A168" t="s">
        <v>21</v>
      </c>
      <c r="B168" t="s">
        <v>28</v>
      </c>
      <c r="C168" t="s">
        <v>35</v>
      </c>
      <c r="D168" t="s">
        <v>40</v>
      </c>
      <c r="E168" s="2">
        <v>46033.95833333334</v>
      </c>
      <c r="F168" s="2">
        <v>46033.99447916666</v>
      </c>
      <c r="G168" t="s">
        <v>50</v>
      </c>
      <c r="H168" t="s">
        <v>51</v>
      </c>
      <c r="I168">
        <v>11</v>
      </c>
      <c r="J168">
        <v>23</v>
      </c>
      <c r="K168" t="s">
        <v>53</v>
      </c>
      <c r="L168" t="s">
        <v>58</v>
      </c>
      <c r="M168" t="s">
        <v>69</v>
      </c>
      <c r="N168" t="s">
        <v>74</v>
      </c>
      <c r="O168">
        <v>3123</v>
      </c>
      <c r="P168" t="s">
        <v>40</v>
      </c>
      <c r="Q168" t="s">
        <v>83</v>
      </c>
      <c r="R168" t="s">
        <v>87</v>
      </c>
      <c r="S168" t="s">
        <v>101</v>
      </c>
      <c r="T168" t="s">
        <v>115</v>
      </c>
    </row>
    <row r="169" spans="1:20">
      <c r="A169" t="s">
        <v>20</v>
      </c>
      <c r="B169" t="s">
        <v>27</v>
      </c>
      <c r="C169" t="s">
        <v>38</v>
      </c>
      <c r="E169" s="2">
        <v>46033.95833333334</v>
      </c>
      <c r="F169" s="2">
        <v>46033.96295138889</v>
      </c>
      <c r="G169" t="s">
        <v>50</v>
      </c>
      <c r="H169" t="s">
        <v>51</v>
      </c>
      <c r="I169">
        <v>11</v>
      </c>
      <c r="J169">
        <v>23</v>
      </c>
      <c r="K169" t="s">
        <v>52</v>
      </c>
      <c r="L169" t="s">
        <v>66</v>
      </c>
      <c r="O169">
        <v>399</v>
      </c>
      <c r="P169" t="s">
        <v>79</v>
      </c>
      <c r="Q169" t="s">
        <v>85</v>
      </c>
      <c r="R169" t="s">
        <v>91</v>
      </c>
      <c r="S169" t="s">
        <v>105</v>
      </c>
      <c r="T169" t="s">
        <v>114</v>
      </c>
    </row>
    <row r="170" spans="1:20">
      <c r="A170" t="s">
        <v>24</v>
      </c>
      <c r="B170" t="s">
        <v>31</v>
      </c>
      <c r="C170" t="s">
        <v>36</v>
      </c>
      <c r="E170" s="2">
        <v>46033.95833333334</v>
      </c>
      <c r="F170" s="2">
        <v>46033.97894675926</v>
      </c>
      <c r="G170" t="s">
        <v>50</v>
      </c>
      <c r="H170" t="s">
        <v>51</v>
      </c>
      <c r="I170">
        <v>11</v>
      </c>
      <c r="J170">
        <v>23</v>
      </c>
      <c r="K170" t="s">
        <v>56</v>
      </c>
      <c r="L170" t="s">
        <v>67</v>
      </c>
      <c r="N170" t="s">
        <v>74</v>
      </c>
      <c r="O170">
        <v>1781</v>
      </c>
      <c r="P170" t="s">
        <v>79</v>
      </c>
      <c r="Q170" t="s">
        <v>85</v>
      </c>
      <c r="R170" t="s">
        <v>91</v>
      </c>
      <c r="S170" t="s">
        <v>105</v>
      </c>
      <c r="T170" t="s">
        <v>114</v>
      </c>
    </row>
    <row r="171" spans="1:20">
      <c r="A171" t="s">
        <v>23</v>
      </c>
      <c r="B171" t="s">
        <v>30</v>
      </c>
      <c r="C171" t="s">
        <v>36</v>
      </c>
      <c r="E171" s="2">
        <v>46033.95833333334</v>
      </c>
      <c r="F171" s="2">
        <v>46033.96711805555</v>
      </c>
      <c r="G171" t="s">
        <v>50</v>
      </c>
      <c r="H171" t="s">
        <v>51</v>
      </c>
      <c r="I171">
        <v>11</v>
      </c>
      <c r="J171">
        <v>23</v>
      </c>
      <c r="K171" t="s">
        <v>55</v>
      </c>
      <c r="L171" t="s">
        <v>65</v>
      </c>
      <c r="M171" t="s">
        <v>69</v>
      </c>
      <c r="N171" t="s">
        <v>74</v>
      </c>
      <c r="O171">
        <v>759</v>
      </c>
      <c r="P171" t="s">
        <v>79</v>
      </c>
      <c r="Q171" t="s">
        <v>85</v>
      </c>
      <c r="R171" t="s">
        <v>91</v>
      </c>
      <c r="S171" t="s">
        <v>105</v>
      </c>
      <c r="T171" t="s">
        <v>114</v>
      </c>
    </row>
    <row r="172" spans="1:20">
      <c r="A172" t="s">
        <v>26</v>
      </c>
      <c r="B172" t="s">
        <v>33</v>
      </c>
      <c r="C172" t="s">
        <v>39</v>
      </c>
      <c r="E172" s="2">
        <v>46033.95833333334</v>
      </c>
      <c r="F172" s="2">
        <v>46033.96027777778</v>
      </c>
      <c r="G172" t="s">
        <v>50</v>
      </c>
      <c r="H172" t="s">
        <v>51</v>
      </c>
      <c r="I172">
        <v>11</v>
      </c>
      <c r="J172">
        <v>23</v>
      </c>
      <c r="L172" t="s">
        <v>68</v>
      </c>
      <c r="M172" t="s">
        <v>69</v>
      </c>
      <c r="N172" t="s">
        <v>74</v>
      </c>
      <c r="O172">
        <v>168</v>
      </c>
      <c r="P172" t="s">
        <v>81</v>
      </c>
      <c r="Q172" t="s">
        <v>85</v>
      </c>
      <c r="R172" t="s">
        <v>93</v>
      </c>
      <c r="S172" t="s">
        <v>107</v>
      </c>
      <c r="T172" t="s">
        <v>114</v>
      </c>
    </row>
    <row r="173" spans="1:20">
      <c r="A173" t="s">
        <v>25</v>
      </c>
      <c r="B173" t="s">
        <v>32</v>
      </c>
      <c r="C173" t="s">
        <v>38</v>
      </c>
      <c r="E173" s="2">
        <v>46033.95833333334</v>
      </c>
      <c r="F173" s="2">
        <v>46033.95989583333</v>
      </c>
      <c r="G173" t="s">
        <v>50</v>
      </c>
      <c r="H173" t="s">
        <v>51</v>
      </c>
      <c r="I173">
        <v>11</v>
      </c>
      <c r="J173">
        <v>23</v>
      </c>
      <c r="K173" t="s">
        <v>53</v>
      </c>
      <c r="L173" t="s">
        <v>62</v>
      </c>
      <c r="M173" t="s">
        <v>69</v>
      </c>
      <c r="N173" t="s">
        <v>74</v>
      </c>
      <c r="O173">
        <v>135</v>
      </c>
      <c r="P173" t="s">
        <v>79</v>
      </c>
      <c r="Q173" t="s">
        <v>85</v>
      </c>
      <c r="R173" t="s">
        <v>91</v>
      </c>
      <c r="S173" t="s">
        <v>105</v>
      </c>
      <c r="T173" t="s">
        <v>114</v>
      </c>
    </row>
    <row r="174" spans="1:20">
      <c r="A174" t="s">
        <v>22</v>
      </c>
      <c r="B174" t="s">
        <v>29</v>
      </c>
      <c r="C174" t="s">
        <v>37</v>
      </c>
      <c r="E174" s="2">
        <v>46033.95876157407</v>
      </c>
      <c r="F174" s="2">
        <v>46033.95918981481</v>
      </c>
      <c r="G174" t="s">
        <v>50</v>
      </c>
      <c r="H174" t="s">
        <v>51</v>
      </c>
      <c r="I174">
        <v>11</v>
      </c>
      <c r="J174">
        <v>23</v>
      </c>
      <c r="K174" t="s">
        <v>54</v>
      </c>
      <c r="L174" t="s">
        <v>64</v>
      </c>
      <c r="M174" t="s">
        <v>69</v>
      </c>
      <c r="N174" t="s">
        <v>74</v>
      </c>
      <c r="O174">
        <v>37</v>
      </c>
      <c r="P174" t="s">
        <v>81</v>
      </c>
      <c r="Q174" t="s">
        <v>85</v>
      </c>
      <c r="R174" t="s">
        <v>93</v>
      </c>
      <c r="S174" t="s">
        <v>107</v>
      </c>
      <c r="T174" t="s">
        <v>114</v>
      </c>
    </row>
    <row r="175" spans="1:20">
      <c r="A175" t="s">
        <v>22</v>
      </c>
      <c r="B175" t="s">
        <v>29</v>
      </c>
      <c r="C175" t="s">
        <v>39</v>
      </c>
      <c r="E175" s="2">
        <v>46033.95918981481</v>
      </c>
      <c r="F175" s="2">
        <v>46033.9596875</v>
      </c>
      <c r="G175" t="s">
        <v>50</v>
      </c>
      <c r="H175" t="s">
        <v>51</v>
      </c>
      <c r="I175">
        <v>11</v>
      </c>
      <c r="J175">
        <v>23</v>
      </c>
      <c r="K175" t="s">
        <v>54</v>
      </c>
      <c r="L175" t="s">
        <v>64</v>
      </c>
      <c r="M175" t="s">
        <v>69</v>
      </c>
      <c r="N175" t="s">
        <v>74</v>
      </c>
      <c r="O175">
        <v>43</v>
      </c>
      <c r="P175" t="s">
        <v>81</v>
      </c>
      <c r="Q175" t="s">
        <v>85</v>
      </c>
      <c r="R175" t="s">
        <v>93</v>
      </c>
      <c r="S175" t="s">
        <v>107</v>
      </c>
      <c r="T175" t="s">
        <v>114</v>
      </c>
    </row>
    <row r="176" spans="1:20">
      <c r="A176" t="s">
        <v>22</v>
      </c>
      <c r="B176" t="s">
        <v>29</v>
      </c>
      <c r="C176" t="s">
        <v>37</v>
      </c>
      <c r="E176" s="2">
        <v>46033.9596875</v>
      </c>
      <c r="F176" s="2">
        <v>46033.96099537037</v>
      </c>
      <c r="G176" t="s">
        <v>50</v>
      </c>
      <c r="H176" t="s">
        <v>51</v>
      </c>
      <c r="I176">
        <v>11</v>
      </c>
      <c r="J176">
        <v>23</v>
      </c>
      <c r="K176" t="s">
        <v>54</v>
      </c>
      <c r="L176" t="s">
        <v>64</v>
      </c>
      <c r="M176" t="s">
        <v>69</v>
      </c>
      <c r="N176" t="s">
        <v>74</v>
      </c>
      <c r="O176">
        <v>113</v>
      </c>
      <c r="P176" t="s">
        <v>81</v>
      </c>
      <c r="Q176" t="s">
        <v>85</v>
      </c>
      <c r="R176" t="s">
        <v>93</v>
      </c>
      <c r="S176" t="s">
        <v>107</v>
      </c>
      <c r="T176" t="s">
        <v>114</v>
      </c>
    </row>
    <row r="177" spans="1:20">
      <c r="A177" t="s">
        <v>25</v>
      </c>
      <c r="B177" t="s">
        <v>32</v>
      </c>
      <c r="C177" t="s">
        <v>37</v>
      </c>
      <c r="E177" s="2">
        <v>46033.95989583333</v>
      </c>
      <c r="F177" s="2">
        <v>46033.9600462963</v>
      </c>
      <c r="G177" t="s">
        <v>50</v>
      </c>
      <c r="H177" t="s">
        <v>51</v>
      </c>
      <c r="I177">
        <v>11</v>
      </c>
      <c r="J177">
        <v>23</v>
      </c>
      <c r="K177" t="s">
        <v>53</v>
      </c>
      <c r="L177" t="s">
        <v>62</v>
      </c>
      <c r="M177" t="s">
        <v>69</v>
      </c>
      <c r="N177" t="s">
        <v>74</v>
      </c>
      <c r="O177">
        <v>13</v>
      </c>
      <c r="P177" t="s">
        <v>81</v>
      </c>
      <c r="Q177" t="s">
        <v>85</v>
      </c>
      <c r="R177" t="s">
        <v>93</v>
      </c>
      <c r="S177" t="s">
        <v>107</v>
      </c>
      <c r="T177" t="s">
        <v>114</v>
      </c>
    </row>
    <row r="178" spans="1:20">
      <c r="A178" t="s">
        <v>25</v>
      </c>
      <c r="B178" t="s">
        <v>32</v>
      </c>
      <c r="C178" t="s">
        <v>39</v>
      </c>
      <c r="E178" s="2">
        <v>46033.9600462963</v>
      </c>
      <c r="F178" s="2">
        <v>46033.96005787037</v>
      </c>
      <c r="G178" t="s">
        <v>50</v>
      </c>
      <c r="H178" t="s">
        <v>51</v>
      </c>
      <c r="I178">
        <v>11</v>
      </c>
      <c r="J178">
        <v>23</v>
      </c>
      <c r="K178" t="s">
        <v>53</v>
      </c>
      <c r="L178" t="s">
        <v>62</v>
      </c>
      <c r="M178" t="s">
        <v>69</v>
      </c>
      <c r="N178" t="s">
        <v>74</v>
      </c>
      <c r="O178">
        <v>1</v>
      </c>
      <c r="P178" t="s">
        <v>81</v>
      </c>
      <c r="Q178" t="s">
        <v>85</v>
      </c>
      <c r="R178" t="s">
        <v>93</v>
      </c>
      <c r="S178" t="s">
        <v>107</v>
      </c>
      <c r="T178" t="s">
        <v>114</v>
      </c>
    </row>
    <row r="179" spans="1:20">
      <c r="A179" t="s">
        <v>25</v>
      </c>
      <c r="B179" t="s">
        <v>32</v>
      </c>
      <c r="C179" t="s">
        <v>37</v>
      </c>
      <c r="E179" s="2">
        <v>46033.96005787037</v>
      </c>
      <c r="F179" s="2">
        <v>46033.96085648148</v>
      </c>
      <c r="G179" t="s">
        <v>50</v>
      </c>
      <c r="H179" t="s">
        <v>51</v>
      </c>
      <c r="I179">
        <v>11</v>
      </c>
      <c r="J179">
        <v>23</v>
      </c>
      <c r="K179" t="s">
        <v>53</v>
      </c>
      <c r="L179" t="s">
        <v>62</v>
      </c>
      <c r="M179" t="s">
        <v>69</v>
      </c>
      <c r="N179" t="s">
        <v>74</v>
      </c>
      <c r="O179">
        <v>69</v>
      </c>
      <c r="P179" t="s">
        <v>81</v>
      </c>
      <c r="Q179" t="s">
        <v>85</v>
      </c>
      <c r="R179" t="s">
        <v>93</v>
      </c>
      <c r="S179" t="s">
        <v>107</v>
      </c>
      <c r="T179" t="s">
        <v>114</v>
      </c>
    </row>
    <row r="180" spans="1:20">
      <c r="A180" t="s">
        <v>26</v>
      </c>
      <c r="B180" t="s">
        <v>33</v>
      </c>
      <c r="C180" t="s">
        <v>35</v>
      </c>
      <c r="D180" t="s">
        <v>43</v>
      </c>
      <c r="E180" s="2">
        <v>46033.96027777778</v>
      </c>
      <c r="F180" s="2">
        <v>46033.96359953703</v>
      </c>
      <c r="G180" t="s">
        <v>50</v>
      </c>
      <c r="H180" t="s">
        <v>51</v>
      </c>
      <c r="I180">
        <v>11</v>
      </c>
      <c r="J180">
        <v>23</v>
      </c>
      <c r="L180" t="s">
        <v>68</v>
      </c>
      <c r="M180" t="s">
        <v>69</v>
      </c>
      <c r="N180" t="s">
        <v>74</v>
      </c>
      <c r="O180">
        <v>287</v>
      </c>
      <c r="P180" t="s">
        <v>43</v>
      </c>
      <c r="Q180" t="s">
        <v>84</v>
      </c>
      <c r="R180" t="s">
        <v>90</v>
      </c>
      <c r="S180" t="s">
        <v>104</v>
      </c>
      <c r="T180" t="s">
        <v>115</v>
      </c>
    </row>
    <row r="181" spans="1:20">
      <c r="A181" t="s">
        <v>25</v>
      </c>
      <c r="B181" t="s">
        <v>32</v>
      </c>
      <c r="C181" t="s">
        <v>39</v>
      </c>
      <c r="E181" s="2">
        <v>46033.96085648148</v>
      </c>
      <c r="F181" s="2">
        <v>46033.96162037037</v>
      </c>
      <c r="G181" t="s">
        <v>50</v>
      </c>
      <c r="H181" t="s">
        <v>51</v>
      </c>
      <c r="I181">
        <v>11</v>
      </c>
      <c r="J181">
        <v>23</v>
      </c>
      <c r="K181" t="s">
        <v>53</v>
      </c>
      <c r="L181" t="s">
        <v>62</v>
      </c>
      <c r="M181" t="s">
        <v>69</v>
      </c>
      <c r="N181" t="s">
        <v>74</v>
      </c>
      <c r="O181">
        <v>66</v>
      </c>
      <c r="P181" t="s">
        <v>81</v>
      </c>
      <c r="Q181" t="s">
        <v>85</v>
      </c>
      <c r="R181" t="s">
        <v>93</v>
      </c>
      <c r="S181" t="s">
        <v>107</v>
      </c>
      <c r="T181" t="s">
        <v>114</v>
      </c>
    </row>
    <row r="182" spans="1:20">
      <c r="A182" t="s">
        <v>22</v>
      </c>
      <c r="B182" t="s">
        <v>29</v>
      </c>
      <c r="C182" t="s">
        <v>38</v>
      </c>
      <c r="E182" s="2">
        <v>46033.96099537037</v>
      </c>
      <c r="F182" s="2">
        <v>46033.96112268518</v>
      </c>
      <c r="G182" t="s">
        <v>50</v>
      </c>
      <c r="H182" t="s">
        <v>51</v>
      </c>
      <c r="I182">
        <v>11</v>
      </c>
      <c r="J182">
        <v>23</v>
      </c>
      <c r="K182" t="s">
        <v>54</v>
      </c>
      <c r="L182" t="s">
        <v>64</v>
      </c>
      <c r="M182" t="s">
        <v>69</v>
      </c>
      <c r="N182" t="s">
        <v>74</v>
      </c>
      <c r="O182">
        <v>11</v>
      </c>
      <c r="P182" t="s">
        <v>79</v>
      </c>
      <c r="Q182" t="s">
        <v>85</v>
      </c>
      <c r="R182" t="s">
        <v>91</v>
      </c>
      <c r="S182" t="s">
        <v>105</v>
      </c>
      <c r="T182" t="s">
        <v>114</v>
      </c>
    </row>
    <row r="183" spans="1:20">
      <c r="A183" t="s">
        <v>22</v>
      </c>
      <c r="B183" t="s">
        <v>29</v>
      </c>
      <c r="C183" t="s">
        <v>36</v>
      </c>
      <c r="E183" s="2">
        <v>46033.96112268518</v>
      </c>
      <c r="F183" s="2">
        <v>46033.9885300926</v>
      </c>
      <c r="G183" t="s">
        <v>50</v>
      </c>
      <c r="H183" t="s">
        <v>51</v>
      </c>
      <c r="I183">
        <v>11</v>
      </c>
      <c r="J183">
        <v>23</v>
      </c>
      <c r="K183" t="s">
        <v>54</v>
      </c>
      <c r="L183" t="s">
        <v>64</v>
      </c>
      <c r="M183" t="s">
        <v>69</v>
      </c>
      <c r="N183" t="s">
        <v>74</v>
      </c>
      <c r="O183">
        <v>2368</v>
      </c>
      <c r="P183" t="s">
        <v>79</v>
      </c>
      <c r="Q183" t="s">
        <v>85</v>
      </c>
      <c r="R183" t="s">
        <v>91</v>
      </c>
      <c r="S183" t="s">
        <v>105</v>
      </c>
      <c r="T183" t="s">
        <v>114</v>
      </c>
    </row>
    <row r="184" spans="1:20">
      <c r="A184" t="s">
        <v>25</v>
      </c>
      <c r="B184" t="s">
        <v>32</v>
      </c>
      <c r="C184" t="s">
        <v>37</v>
      </c>
      <c r="E184" s="2">
        <v>46033.96162037037</v>
      </c>
      <c r="F184" s="2">
        <v>46033.96167824074</v>
      </c>
      <c r="G184" t="s">
        <v>50</v>
      </c>
      <c r="H184" t="s">
        <v>51</v>
      </c>
      <c r="I184">
        <v>11</v>
      </c>
      <c r="J184">
        <v>23</v>
      </c>
      <c r="K184" t="s">
        <v>53</v>
      </c>
      <c r="L184" t="s">
        <v>62</v>
      </c>
      <c r="M184" t="s">
        <v>69</v>
      </c>
      <c r="N184" t="s">
        <v>74</v>
      </c>
      <c r="O184">
        <v>5</v>
      </c>
      <c r="P184" t="s">
        <v>81</v>
      </c>
      <c r="Q184" t="s">
        <v>85</v>
      </c>
      <c r="R184" t="s">
        <v>93</v>
      </c>
      <c r="S184" t="s">
        <v>107</v>
      </c>
      <c r="T184" t="s">
        <v>114</v>
      </c>
    </row>
    <row r="185" spans="1:20">
      <c r="A185" t="s">
        <v>25</v>
      </c>
      <c r="B185" t="s">
        <v>32</v>
      </c>
      <c r="C185" t="s">
        <v>37</v>
      </c>
      <c r="E185" s="2">
        <v>46033.96167824074</v>
      </c>
      <c r="F185" s="2">
        <v>46033.96254629629</v>
      </c>
      <c r="G185" t="s">
        <v>50</v>
      </c>
      <c r="H185" t="s">
        <v>51</v>
      </c>
      <c r="I185">
        <v>11</v>
      </c>
      <c r="J185">
        <v>23</v>
      </c>
      <c r="K185" t="s">
        <v>53</v>
      </c>
      <c r="L185" t="s">
        <v>62</v>
      </c>
      <c r="M185" t="s">
        <v>69</v>
      </c>
      <c r="N185" t="s">
        <v>76</v>
      </c>
      <c r="O185">
        <v>75</v>
      </c>
      <c r="P185" t="s">
        <v>81</v>
      </c>
      <c r="Q185" t="s">
        <v>85</v>
      </c>
      <c r="R185" t="s">
        <v>93</v>
      </c>
      <c r="S185" t="s">
        <v>107</v>
      </c>
      <c r="T185" t="s">
        <v>114</v>
      </c>
    </row>
    <row r="186" spans="1:20">
      <c r="A186" t="s">
        <v>25</v>
      </c>
      <c r="B186" t="s">
        <v>32</v>
      </c>
      <c r="C186" t="s">
        <v>37</v>
      </c>
      <c r="E186" s="2">
        <v>46033.96254629629</v>
      </c>
      <c r="F186" s="2">
        <v>46033.96263888889</v>
      </c>
      <c r="G186" t="s">
        <v>50</v>
      </c>
      <c r="H186" t="s">
        <v>51</v>
      </c>
      <c r="I186">
        <v>11</v>
      </c>
      <c r="J186">
        <v>23</v>
      </c>
      <c r="K186" t="s">
        <v>53</v>
      </c>
      <c r="L186" t="s">
        <v>62</v>
      </c>
      <c r="M186" t="s">
        <v>69</v>
      </c>
      <c r="N186" t="s">
        <v>74</v>
      </c>
      <c r="O186">
        <v>8</v>
      </c>
      <c r="P186" t="s">
        <v>81</v>
      </c>
      <c r="Q186" t="s">
        <v>85</v>
      </c>
      <c r="R186" t="s">
        <v>93</v>
      </c>
      <c r="S186" t="s">
        <v>107</v>
      </c>
      <c r="T186" t="s">
        <v>114</v>
      </c>
    </row>
    <row r="187" spans="1:20">
      <c r="A187" t="s">
        <v>25</v>
      </c>
      <c r="B187" t="s">
        <v>32</v>
      </c>
      <c r="C187" t="s">
        <v>38</v>
      </c>
      <c r="E187" s="2">
        <v>46033.96263888889</v>
      </c>
      <c r="F187" s="2">
        <v>46033.99209490741</v>
      </c>
      <c r="G187" t="s">
        <v>50</v>
      </c>
      <c r="H187" t="s">
        <v>51</v>
      </c>
      <c r="I187">
        <v>11</v>
      </c>
      <c r="J187">
        <v>23</v>
      </c>
      <c r="K187" t="s">
        <v>53</v>
      </c>
      <c r="L187" t="s">
        <v>62</v>
      </c>
      <c r="M187" t="s">
        <v>69</v>
      </c>
      <c r="N187" t="s">
        <v>74</v>
      </c>
      <c r="O187">
        <v>2545</v>
      </c>
      <c r="P187" t="s">
        <v>79</v>
      </c>
      <c r="Q187" t="s">
        <v>85</v>
      </c>
      <c r="R187" t="s">
        <v>91</v>
      </c>
      <c r="S187" t="s">
        <v>105</v>
      </c>
      <c r="T187" t="s">
        <v>114</v>
      </c>
    </row>
    <row r="188" spans="1:20">
      <c r="A188" t="s">
        <v>20</v>
      </c>
      <c r="B188" t="s">
        <v>27</v>
      </c>
      <c r="C188" t="s">
        <v>39</v>
      </c>
      <c r="E188" s="2">
        <v>46033.96295138889</v>
      </c>
      <c r="F188" s="2">
        <v>46033.96556712963</v>
      </c>
      <c r="G188" t="s">
        <v>50</v>
      </c>
      <c r="H188" t="s">
        <v>51</v>
      </c>
      <c r="I188">
        <v>11</v>
      </c>
      <c r="J188">
        <v>23</v>
      </c>
      <c r="K188" t="s">
        <v>52</v>
      </c>
      <c r="L188" t="s">
        <v>66</v>
      </c>
      <c r="O188">
        <v>226</v>
      </c>
      <c r="P188" t="s">
        <v>81</v>
      </c>
      <c r="Q188" t="s">
        <v>85</v>
      </c>
      <c r="R188" t="s">
        <v>93</v>
      </c>
      <c r="S188" t="s">
        <v>107</v>
      </c>
      <c r="T188" t="s">
        <v>114</v>
      </c>
    </row>
    <row r="189" spans="1:20">
      <c r="A189" t="s">
        <v>26</v>
      </c>
      <c r="B189" t="s">
        <v>33</v>
      </c>
      <c r="C189" t="s">
        <v>35</v>
      </c>
      <c r="D189" t="s">
        <v>43</v>
      </c>
      <c r="E189" s="2">
        <v>46033.96359953703</v>
      </c>
      <c r="F189" s="2">
        <v>46033.96708333334</v>
      </c>
      <c r="G189" t="s">
        <v>50</v>
      </c>
      <c r="H189" t="s">
        <v>51</v>
      </c>
      <c r="I189">
        <v>11</v>
      </c>
      <c r="J189">
        <v>23</v>
      </c>
      <c r="L189" t="s">
        <v>68</v>
      </c>
      <c r="M189" t="s">
        <v>69</v>
      </c>
      <c r="N189" t="s">
        <v>74</v>
      </c>
      <c r="O189">
        <v>301</v>
      </c>
      <c r="P189" t="s">
        <v>43</v>
      </c>
      <c r="Q189" t="s">
        <v>84</v>
      </c>
      <c r="R189" t="s">
        <v>90</v>
      </c>
      <c r="S189" t="s">
        <v>104</v>
      </c>
      <c r="T189" t="s">
        <v>115</v>
      </c>
    </row>
    <row r="190" spans="1:20">
      <c r="A190" t="s">
        <v>20</v>
      </c>
      <c r="B190" t="s">
        <v>27</v>
      </c>
      <c r="C190" t="s">
        <v>38</v>
      </c>
      <c r="E190" s="2">
        <v>46033.96556712963</v>
      </c>
      <c r="F190" s="2">
        <v>46033.96806712963</v>
      </c>
      <c r="G190" t="s">
        <v>50</v>
      </c>
      <c r="H190" t="s">
        <v>51</v>
      </c>
      <c r="I190">
        <v>11</v>
      </c>
      <c r="J190">
        <v>23</v>
      </c>
      <c r="K190" t="s">
        <v>52</v>
      </c>
      <c r="L190" t="s">
        <v>66</v>
      </c>
      <c r="O190">
        <v>216</v>
      </c>
      <c r="P190" t="s">
        <v>79</v>
      </c>
      <c r="Q190" t="s">
        <v>85</v>
      </c>
      <c r="R190" t="s">
        <v>91</v>
      </c>
      <c r="S190" t="s">
        <v>105</v>
      </c>
      <c r="T190" t="s">
        <v>114</v>
      </c>
    </row>
    <row r="191" spans="1:20">
      <c r="A191" t="s">
        <v>26</v>
      </c>
      <c r="B191" t="s">
        <v>33</v>
      </c>
      <c r="C191" t="s">
        <v>35</v>
      </c>
      <c r="D191" t="s">
        <v>43</v>
      </c>
      <c r="E191" s="2">
        <v>46033.96708333334</v>
      </c>
      <c r="F191" s="2">
        <v>46033.97149305556</v>
      </c>
      <c r="G191" t="s">
        <v>50</v>
      </c>
      <c r="H191" t="s">
        <v>51</v>
      </c>
      <c r="I191">
        <v>11</v>
      </c>
      <c r="J191">
        <v>23</v>
      </c>
      <c r="L191" t="s">
        <v>68</v>
      </c>
      <c r="M191" t="s">
        <v>69</v>
      </c>
      <c r="N191" t="s">
        <v>74</v>
      </c>
      <c r="O191">
        <v>381</v>
      </c>
      <c r="P191" t="s">
        <v>43</v>
      </c>
      <c r="Q191" t="s">
        <v>84</v>
      </c>
      <c r="R191" t="s">
        <v>90</v>
      </c>
      <c r="S191" t="s">
        <v>104</v>
      </c>
      <c r="T191" t="s">
        <v>115</v>
      </c>
    </row>
    <row r="192" spans="1:20">
      <c r="A192" t="s">
        <v>23</v>
      </c>
      <c r="B192" t="s">
        <v>30</v>
      </c>
      <c r="C192" t="s">
        <v>38</v>
      </c>
      <c r="E192" s="2">
        <v>46033.96711805555</v>
      </c>
      <c r="F192" s="2">
        <v>46033.96758101852</v>
      </c>
      <c r="G192" t="s">
        <v>50</v>
      </c>
      <c r="H192" t="s">
        <v>51</v>
      </c>
      <c r="I192">
        <v>11</v>
      </c>
      <c r="J192">
        <v>23</v>
      </c>
      <c r="K192" t="s">
        <v>55</v>
      </c>
      <c r="L192" t="s">
        <v>65</v>
      </c>
      <c r="M192" t="s">
        <v>69</v>
      </c>
      <c r="N192" t="s">
        <v>74</v>
      </c>
      <c r="O192">
        <v>40</v>
      </c>
      <c r="P192" t="s">
        <v>79</v>
      </c>
      <c r="Q192" t="s">
        <v>85</v>
      </c>
      <c r="R192" t="s">
        <v>91</v>
      </c>
      <c r="S192" t="s">
        <v>105</v>
      </c>
      <c r="T192" t="s">
        <v>114</v>
      </c>
    </row>
    <row r="193" spans="1:20">
      <c r="A193" t="s">
        <v>23</v>
      </c>
      <c r="B193" t="s">
        <v>30</v>
      </c>
      <c r="C193" t="s">
        <v>37</v>
      </c>
      <c r="E193" s="2">
        <v>46033.96758101852</v>
      </c>
      <c r="F193" s="2">
        <v>46033.96760416667</v>
      </c>
      <c r="G193" t="s">
        <v>50</v>
      </c>
      <c r="H193" t="s">
        <v>51</v>
      </c>
      <c r="I193">
        <v>11</v>
      </c>
      <c r="J193">
        <v>23</v>
      </c>
      <c r="K193" t="s">
        <v>55</v>
      </c>
      <c r="L193" t="s">
        <v>65</v>
      </c>
      <c r="M193" t="s">
        <v>69</v>
      </c>
      <c r="N193" t="s">
        <v>74</v>
      </c>
      <c r="O193">
        <v>2</v>
      </c>
      <c r="P193" t="s">
        <v>81</v>
      </c>
      <c r="Q193" t="s">
        <v>85</v>
      </c>
      <c r="R193" t="s">
        <v>93</v>
      </c>
      <c r="S193" t="s">
        <v>107</v>
      </c>
      <c r="T193" t="s">
        <v>114</v>
      </c>
    </row>
    <row r="194" spans="1:20">
      <c r="A194" t="s">
        <v>23</v>
      </c>
      <c r="B194" t="s">
        <v>30</v>
      </c>
      <c r="C194" t="s">
        <v>37</v>
      </c>
      <c r="E194" s="2">
        <v>46033.96760416667</v>
      </c>
      <c r="F194" s="2">
        <v>46033.96778935185</v>
      </c>
      <c r="G194" t="s">
        <v>50</v>
      </c>
      <c r="H194" t="s">
        <v>51</v>
      </c>
      <c r="I194">
        <v>11</v>
      </c>
      <c r="J194">
        <v>23</v>
      </c>
      <c r="K194" t="s">
        <v>55</v>
      </c>
      <c r="L194" t="s">
        <v>65</v>
      </c>
      <c r="M194" t="s">
        <v>69</v>
      </c>
      <c r="N194" t="s">
        <v>75</v>
      </c>
      <c r="O194">
        <v>16</v>
      </c>
      <c r="P194" t="s">
        <v>81</v>
      </c>
      <c r="Q194" t="s">
        <v>85</v>
      </c>
      <c r="R194" t="s">
        <v>93</v>
      </c>
      <c r="S194" t="s">
        <v>107</v>
      </c>
      <c r="T194" t="s">
        <v>114</v>
      </c>
    </row>
    <row r="195" spans="1:20">
      <c r="A195" t="s">
        <v>23</v>
      </c>
      <c r="B195" t="s">
        <v>30</v>
      </c>
      <c r="C195" t="s">
        <v>37</v>
      </c>
      <c r="E195" s="2">
        <v>46033.96778935185</v>
      </c>
      <c r="F195" s="2">
        <v>46033.96784722222</v>
      </c>
      <c r="G195" t="s">
        <v>50</v>
      </c>
      <c r="H195" t="s">
        <v>51</v>
      </c>
      <c r="I195">
        <v>11</v>
      </c>
      <c r="J195">
        <v>23</v>
      </c>
      <c r="K195" t="s">
        <v>55</v>
      </c>
      <c r="L195" t="s">
        <v>65</v>
      </c>
      <c r="M195" t="s">
        <v>69</v>
      </c>
      <c r="N195" t="s">
        <v>74</v>
      </c>
      <c r="O195">
        <v>5</v>
      </c>
      <c r="P195" t="s">
        <v>81</v>
      </c>
      <c r="Q195" t="s">
        <v>85</v>
      </c>
      <c r="R195" t="s">
        <v>93</v>
      </c>
      <c r="S195" t="s">
        <v>107</v>
      </c>
      <c r="T195" t="s">
        <v>114</v>
      </c>
    </row>
    <row r="196" spans="1:20">
      <c r="A196" t="s">
        <v>23</v>
      </c>
      <c r="B196" t="s">
        <v>30</v>
      </c>
      <c r="C196" t="s">
        <v>39</v>
      </c>
      <c r="E196" s="2">
        <v>46033.96784722222</v>
      </c>
      <c r="F196" s="2">
        <v>46033.96825231481</v>
      </c>
      <c r="G196" t="s">
        <v>50</v>
      </c>
      <c r="H196" t="s">
        <v>51</v>
      </c>
      <c r="I196">
        <v>11</v>
      </c>
      <c r="J196">
        <v>23</v>
      </c>
      <c r="K196" t="s">
        <v>55</v>
      </c>
      <c r="L196" t="s">
        <v>65</v>
      </c>
      <c r="M196" t="s">
        <v>69</v>
      </c>
      <c r="N196" t="s">
        <v>74</v>
      </c>
      <c r="O196">
        <v>35</v>
      </c>
      <c r="P196" t="s">
        <v>81</v>
      </c>
      <c r="Q196" t="s">
        <v>85</v>
      </c>
      <c r="R196" t="s">
        <v>93</v>
      </c>
      <c r="S196" t="s">
        <v>107</v>
      </c>
      <c r="T196" t="s">
        <v>114</v>
      </c>
    </row>
    <row r="197" spans="1:20">
      <c r="A197" t="s">
        <v>20</v>
      </c>
      <c r="B197" t="s">
        <v>27</v>
      </c>
      <c r="C197" t="s">
        <v>36</v>
      </c>
      <c r="E197" s="2">
        <v>46033.96806712963</v>
      </c>
      <c r="F197" s="2">
        <v>46033.97858796296</v>
      </c>
      <c r="G197" t="s">
        <v>50</v>
      </c>
      <c r="H197" t="s">
        <v>51</v>
      </c>
      <c r="I197">
        <v>11</v>
      </c>
      <c r="J197">
        <v>23</v>
      </c>
      <c r="K197" t="s">
        <v>52</v>
      </c>
      <c r="L197" t="s">
        <v>66</v>
      </c>
      <c r="O197">
        <v>909</v>
      </c>
      <c r="P197" t="s">
        <v>79</v>
      </c>
      <c r="Q197" t="s">
        <v>85</v>
      </c>
      <c r="R197" t="s">
        <v>91</v>
      </c>
      <c r="S197" t="s">
        <v>105</v>
      </c>
      <c r="T197" t="s">
        <v>114</v>
      </c>
    </row>
    <row r="198" spans="1:20">
      <c r="A198" t="s">
        <v>23</v>
      </c>
      <c r="B198" t="s">
        <v>30</v>
      </c>
      <c r="C198" t="s">
        <v>37</v>
      </c>
      <c r="E198" s="2">
        <v>46033.96825231481</v>
      </c>
      <c r="F198" s="2">
        <v>46033.96828703704</v>
      </c>
      <c r="G198" t="s">
        <v>50</v>
      </c>
      <c r="H198" t="s">
        <v>51</v>
      </c>
      <c r="I198">
        <v>11</v>
      </c>
      <c r="J198">
        <v>23</v>
      </c>
      <c r="K198" t="s">
        <v>55</v>
      </c>
      <c r="L198" t="s">
        <v>65</v>
      </c>
      <c r="M198" t="s">
        <v>69</v>
      </c>
      <c r="N198" t="s">
        <v>74</v>
      </c>
      <c r="O198">
        <v>3</v>
      </c>
      <c r="P198" t="s">
        <v>81</v>
      </c>
      <c r="Q198" t="s">
        <v>85</v>
      </c>
      <c r="R198" t="s">
        <v>93</v>
      </c>
      <c r="S198" t="s">
        <v>107</v>
      </c>
      <c r="T198" t="s">
        <v>114</v>
      </c>
    </row>
    <row r="199" spans="1:20">
      <c r="A199" t="s">
        <v>23</v>
      </c>
      <c r="B199" t="s">
        <v>30</v>
      </c>
      <c r="C199" t="s">
        <v>37</v>
      </c>
      <c r="E199" s="2">
        <v>46033.96828703704</v>
      </c>
      <c r="F199" s="2">
        <v>46033.96872685185</v>
      </c>
      <c r="G199" t="s">
        <v>50</v>
      </c>
      <c r="H199" t="s">
        <v>51</v>
      </c>
      <c r="I199">
        <v>11</v>
      </c>
      <c r="J199">
        <v>23</v>
      </c>
      <c r="K199" t="s">
        <v>55</v>
      </c>
      <c r="L199" t="s">
        <v>65</v>
      </c>
      <c r="M199" t="s">
        <v>69</v>
      </c>
      <c r="N199" t="s">
        <v>76</v>
      </c>
      <c r="O199">
        <v>38</v>
      </c>
      <c r="P199" t="s">
        <v>81</v>
      </c>
      <c r="Q199" t="s">
        <v>85</v>
      </c>
      <c r="R199" t="s">
        <v>93</v>
      </c>
      <c r="S199" t="s">
        <v>107</v>
      </c>
      <c r="T199" t="s">
        <v>114</v>
      </c>
    </row>
    <row r="200" spans="1:20">
      <c r="A200" t="s">
        <v>23</v>
      </c>
      <c r="B200" t="s">
        <v>30</v>
      </c>
      <c r="C200" t="s">
        <v>37</v>
      </c>
      <c r="E200" s="2">
        <v>46033.96872685185</v>
      </c>
      <c r="F200" s="2">
        <v>46033.96875</v>
      </c>
      <c r="G200" t="s">
        <v>50</v>
      </c>
      <c r="H200" t="s">
        <v>51</v>
      </c>
      <c r="I200">
        <v>11</v>
      </c>
      <c r="J200">
        <v>23</v>
      </c>
      <c r="K200" t="s">
        <v>55</v>
      </c>
      <c r="L200" t="s">
        <v>65</v>
      </c>
      <c r="M200" t="s">
        <v>69</v>
      </c>
      <c r="N200" t="s">
        <v>74</v>
      </c>
      <c r="O200">
        <v>2</v>
      </c>
      <c r="P200" t="s">
        <v>81</v>
      </c>
      <c r="Q200" t="s">
        <v>85</v>
      </c>
      <c r="R200" t="s">
        <v>93</v>
      </c>
      <c r="S200" t="s">
        <v>107</v>
      </c>
      <c r="T200" t="s">
        <v>114</v>
      </c>
    </row>
    <row r="201" spans="1:20">
      <c r="A201" t="s">
        <v>23</v>
      </c>
      <c r="B201" t="s">
        <v>30</v>
      </c>
      <c r="C201" t="s">
        <v>38</v>
      </c>
      <c r="E201" s="2">
        <v>46033.96875</v>
      </c>
      <c r="F201" s="2">
        <v>46033.96892361111</v>
      </c>
      <c r="G201" t="s">
        <v>50</v>
      </c>
      <c r="H201" t="s">
        <v>51</v>
      </c>
      <c r="I201">
        <v>11</v>
      </c>
      <c r="J201">
        <v>23</v>
      </c>
      <c r="K201" t="s">
        <v>55</v>
      </c>
      <c r="L201" t="s">
        <v>65</v>
      </c>
      <c r="M201" t="s">
        <v>69</v>
      </c>
      <c r="N201" t="s">
        <v>74</v>
      </c>
      <c r="O201">
        <v>15</v>
      </c>
      <c r="P201" t="s">
        <v>79</v>
      </c>
      <c r="Q201" t="s">
        <v>85</v>
      </c>
      <c r="R201" t="s">
        <v>91</v>
      </c>
      <c r="S201" t="s">
        <v>105</v>
      </c>
      <c r="T201" t="s">
        <v>114</v>
      </c>
    </row>
    <row r="202" spans="1:20">
      <c r="A202" t="s">
        <v>23</v>
      </c>
      <c r="B202" t="s">
        <v>30</v>
      </c>
      <c r="C202" t="s">
        <v>36</v>
      </c>
      <c r="E202" s="2">
        <v>46033.96892361111</v>
      </c>
      <c r="F202" s="2">
        <v>46033.99472222223</v>
      </c>
      <c r="G202" t="s">
        <v>50</v>
      </c>
      <c r="H202" t="s">
        <v>51</v>
      </c>
      <c r="I202">
        <v>11</v>
      </c>
      <c r="J202">
        <v>23</v>
      </c>
      <c r="K202" t="s">
        <v>55</v>
      </c>
      <c r="L202" t="s">
        <v>65</v>
      </c>
      <c r="M202" t="s">
        <v>69</v>
      </c>
      <c r="N202" t="s">
        <v>74</v>
      </c>
      <c r="O202">
        <v>2229</v>
      </c>
      <c r="P202" t="s">
        <v>79</v>
      </c>
      <c r="Q202" t="s">
        <v>85</v>
      </c>
      <c r="R202" t="s">
        <v>91</v>
      </c>
      <c r="S202" t="s">
        <v>105</v>
      </c>
      <c r="T202" t="s">
        <v>114</v>
      </c>
    </row>
    <row r="203" spans="1:20">
      <c r="A203" t="s">
        <v>26</v>
      </c>
      <c r="B203" t="s">
        <v>33</v>
      </c>
      <c r="C203" t="s">
        <v>35</v>
      </c>
      <c r="D203" t="s">
        <v>43</v>
      </c>
      <c r="E203" s="2">
        <v>46033.97149305556</v>
      </c>
      <c r="F203" s="2">
        <v>46033.97511574074</v>
      </c>
      <c r="G203" t="s">
        <v>50</v>
      </c>
      <c r="H203" t="s">
        <v>51</v>
      </c>
      <c r="I203">
        <v>11</v>
      </c>
      <c r="J203">
        <v>23</v>
      </c>
      <c r="L203" t="s">
        <v>68</v>
      </c>
      <c r="M203" t="s">
        <v>69</v>
      </c>
      <c r="N203" t="s">
        <v>74</v>
      </c>
      <c r="O203">
        <v>313</v>
      </c>
      <c r="P203" t="s">
        <v>43</v>
      </c>
      <c r="Q203" t="s">
        <v>84</v>
      </c>
      <c r="R203" t="s">
        <v>90</v>
      </c>
      <c r="S203" t="s">
        <v>104</v>
      </c>
      <c r="T203" t="s">
        <v>115</v>
      </c>
    </row>
    <row r="204" spans="1:20">
      <c r="A204" t="s">
        <v>26</v>
      </c>
      <c r="B204" t="s">
        <v>33</v>
      </c>
      <c r="C204" t="s">
        <v>35</v>
      </c>
      <c r="D204" t="s">
        <v>43</v>
      </c>
      <c r="E204" s="2">
        <v>46033.97511574074</v>
      </c>
      <c r="F204" s="2">
        <v>46033.97622685185</v>
      </c>
      <c r="G204" t="s">
        <v>50</v>
      </c>
      <c r="H204" t="s">
        <v>51</v>
      </c>
      <c r="I204">
        <v>11</v>
      </c>
      <c r="J204">
        <v>23</v>
      </c>
      <c r="L204" t="s">
        <v>68</v>
      </c>
      <c r="M204" t="s">
        <v>69</v>
      </c>
      <c r="N204" t="s">
        <v>74</v>
      </c>
      <c r="O204">
        <v>96</v>
      </c>
      <c r="P204" t="s">
        <v>43</v>
      </c>
      <c r="Q204" t="s">
        <v>84</v>
      </c>
      <c r="R204" t="s">
        <v>90</v>
      </c>
      <c r="S204" t="s">
        <v>104</v>
      </c>
      <c r="T204" t="s">
        <v>115</v>
      </c>
    </row>
    <row r="205" spans="1:20">
      <c r="A205" t="s">
        <v>26</v>
      </c>
      <c r="B205" t="s">
        <v>33</v>
      </c>
      <c r="C205" t="s">
        <v>35</v>
      </c>
      <c r="D205" t="s">
        <v>43</v>
      </c>
      <c r="E205" s="2">
        <v>46033.97622685185</v>
      </c>
      <c r="F205" s="2">
        <v>46033.97689814815</v>
      </c>
      <c r="G205" t="s">
        <v>50</v>
      </c>
      <c r="H205" t="s">
        <v>51</v>
      </c>
      <c r="I205">
        <v>11</v>
      </c>
      <c r="J205">
        <v>23</v>
      </c>
      <c r="L205" t="s">
        <v>68</v>
      </c>
      <c r="M205" t="s">
        <v>69</v>
      </c>
      <c r="N205" t="s">
        <v>74</v>
      </c>
      <c r="O205">
        <v>58</v>
      </c>
      <c r="P205" t="s">
        <v>43</v>
      </c>
      <c r="Q205" t="s">
        <v>84</v>
      </c>
      <c r="R205" t="s">
        <v>90</v>
      </c>
      <c r="S205" t="s">
        <v>104</v>
      </c>
      <c r="T205" t="s">
        <v>115</v>
      </c>
    </row>
    <row r="206" spans="1:20">
      <c r="A206" t="s">
        <v>26</v>
      </c>
      <c r="B206" t="s">
        <v>33</v>
      </c>
      <c r="C206" t="s">
        <v>35</v>
      </c>
      <c r="D206" t="s">
        <v>43</v>
      </c>
      <c r="E206" s="2">
        <v>46033.97689814815</v>
      </c>
      <c r="F206" s="2">
        <v>46033.97958333333</v>
      </c>
      <c r="G206" t="s">
        <v>50</v>
      </c>
      <c r="H206" t="s">
        <v>51</v>
      </c>
      <c r="I206">
        <v>11</v>
      </c>
      <c r="J206">
        <v>23</v>
      </c>
      <c r="L206" t="s">
        <v>68</v>
      </c>
      <c r="M206" t="s">
        <v>69</v>
      </c>
      <c r="N206" t="s">
        <v>74</v>
      </c>
      <c r="O206">
        <v>232</v>
      </c>
      <c r="P206" t="s">
        <v>43</v>
      </c>
      <c r="Q206" t="s">
        <v>84</v>
      </c>
      <c r="R206" t="s">
        <v>90</v>
      </c>
      <c r="S206" t="s">
        <v>104</v>
      </c>
      <c r="T206" t="s">
        <v>115</v>
      </c>
    </row>
    <row r="207" spans="1:20">
      <c r="A207" t="s">
        <v>20</v>
      </c>
      <c r="B207" t="s">
        <v>27</v>
      </c>
      <c r="C207" t="s">
        <v>38</v>
      </c>
      <c r="E207" s="2">
        <v>46033.97858796296</v>
      </c>
      <c r="F207" s="2">
        <v>46033.97922453703</v>
      </c>
      <c r="G207" t="s">
        <v>50</v>
      </c>
      <c r="H207" t="s">
        <v>51</v>
      </c>
      <c r="I207">
        <v>11</v>
      </c>
      <c r="J207">
        <v>23</v>
      </c>
      <c r="K207" t="s">
        <v>52</v>
      </c>
      <c r="L207" t="s">
        <v>66</v>
      </c>
      <c r="O207">
        <v>55</v>
      </c>
      <c r="P207" t="s">
        <v>79</v>
      </c>
      <c r="Q207" t="s">
        <v>85</v>
      </c>
      <c r="R207" t="s">
        <v>91</v>
      </c>
      <c r="S207" t="s">
        <v>105</v>
      </c>
      <c r="T207" t="s">
        <v>114</v>
      </c>
    </row>
    <row r="208" spans="1:20">
      <c r="A208" t="s">
        <v>24</v>
      </c>
      <c r="B208" t="s">
        <v>31</v>
      </c>
      <c r="C208" t="s">
        <v>38</v>
      </c>
      <c r="E208" s="2">
        <v>46033.97894675926</v>
      </c>
      <c r="F208" s="2">
        <v>46033.9803125</v>
      </c>
      <c r="G208" t="s">
        <v>50</v>
      </c>
      <c r="H208" t="s">
        <v>51</v>
      </c>
      <c r="I208">
        <v>11</v>
      </c>
      <c r="J208">
        <v>23</v>
      </c>
      <c r="K208" t="s">
        <v>56</v>
      </c>
      <c r="L208" t="s">
        <v>67</v>
      </c>
      <c r="N208" t="s">
        <v>74</v>
      </c>
      <c r="O208">
        <v>118</v>
      </c>
      <c r="P208" t="s">
        <v>79</v>
      </c>
      <c r="Q208" t="s">
        <v>85</v>
      </c>
      <c r="R208" t="s">
        <v>91</v>
      </c>
      <c r="S208" t="s">
        <v>105</v>
      </c>
      <c r="T208" t="s">
        <v>114</v>
      </c>
    </row>
    <row r="209" spans="1:20">
      <c r="A209" t="s">
        <v>20</v>
      </c>
      <c r="B209" t="s">
        <v>27</v>
      </c>
      <c r="C209" t="s">
        <v>39</v>
      </c>
      <c r="E209" s="2">
        <v>46033.97922453703</v>
      </c>
      <c r="F209" s="2">
        <v>46033.9800462963</v>
      </c>
      <c r="G209" t="s">
        <v>50</v>
      </c>
      <c r="H209" t="s">
        <v>51</v>
      </c>
      <c r="I209">
        <v>11</v>
      </c>
      <c r="J209">
        <v>23</v>
      </c>
      <c r="K209" t="s">
        <v>52</v>
      </c>
      <c r="L209" t="s">
        <v>66</v>
      </c>
      <c r="O209">
        <v>71</v>
      </c>
      <c r="P209" t="s">
        <v>81</v>
      </c>
      <c r="Q209" t="s">
        <v>85</v>
      </c>
      <c r="R209" t="s">
        <v>93</v>
      </c>
      <c r="S209" t="s">
        <v>107</v>
      </c>
      <c r="T209" t="s">
        <v>114</v>
      </c>
    </row>
    <row r="210" spans="1:20">
      <c r="A210" t="s">
        <v>26</v>
      </c>
      <c r="B210" t="s">
        <v>33</v>
      </c>
      <c r="C210" t="s">
        <v>35</v>
      </c>
      <c r="D210" t="s">
        <v>43</v>
      </c>
      <c r="E210" s="2">
        <v>46033.97958333333</v>
      </c>
      <c r="F210" s="2">
        <v>46033.98497685185</v>
      </c>
      <c r="G210" t="s">
        <v>50</v>
      </c>
      <c r="H210" t="s">
        <v>51</v>
      </c>
      <c r="I210">
        <v>11</v>
      </c>
      <c r="J210">
        <v>23</v>
      </c>
      <c r="L210" t="s">
        <v>68</v>
      </c>
      <c r="M210" t="s">
        <v>69</v>
      </c>
      <c r="N210" t="s">
        <v>74</v>
      </c>
      <c r="O210">
        <v>466</v>
      </c>
      <c r="P210" t="s">
        <v>43</v>
      </c>
      <c r="Q210" t="s">
        <v>84</v>
      </c>
      <c r="R210" t="s">
        <v>90</v>
      </c>
      <c r="S210" t="s">
        <v>104</v>
      </c>
      <c r="T210" t="s">
        <v>115</v>
      </c>
    </row>
    <row r="211" spans="1:20">
      <c r="A211" t="s">
        <v>20</v>
      </c>
      <c r="B211" t="s">
        <v>27</v>
      </c>
      <c r="C211" t="s">
        <v>38</v>
      </c>
      <c r="E211" s="2">
        <v>46033.9800462963</v>
      </c>
      <c r="F211" s="2">
        <v>46033.98075231481</v>
      </c>
      <c r="G211" t="s">
        <v>50</v>
      </c>
      <c r="H211" t="s">
        <v>51</v>
      </c>
      <c r="I211">
        <v>11</v>
      </c>
      <c r="J211">
        <v>23</v>
      </c>
      <c r="K211" t="s">
        <v>52</v>
      </c>
      <c r="L211" t="s">
        <v>66</v>
      </c>
      <c r="O211">
        <v>61</v>
      </c>
      <c r="P211" t="s">
        <v>79</v>
      </c>
      <c r="Q211" t="s">
        <v>85</v>
      </c>
      <c r="R211" t="s">
        <v>91</v>
      </c>
      <c r="S211" t="s">
        <v>105</v>
      </c>
      <c r="T211" t="s">
        <v>114</v>
      </c>
    </row>
    <row r="212" spans="1:20">
      <c r="A212" t="s">
        <v>24</v>
      </c>
      <c r="B212" t="s">
        <v>31</v>
      </c>
      <c r="C212" t="s">
        <v>37</v>
      </c>
      <c r="E212" s="2">
        <v>46033.9803125</v>
      </c>
      <c r="F212" s="2">
        <v>46033.98032407407</v>
      </c>
      <c r="G212" t="s">
        <v>50</v>
      </c>
      <c r="H212" t="s">
        <v>51</v>
      </c>
      <c r="I212">
        <v>11</v>
      </c>
      <c r="J212">
        <v>23</v>
      </c>
      <c r="K212" t="s">
        <v>56</v>
      </c>
      <c r="L212" t="s">
        <v>67</v>
      </c>
      <c r="N212" t="s">
        <v>74</v>
      </c>
      <c r="O212">
        <v>1</v>
      </c>
      <c r="P212" t="s">
        <v>81</v>
      </c>
      <c r="Q212" t="s">
        <v>85</v>
      </c>
      <c r="R212" t="s">
        <v>93</v>
      </c>
      <c r="S212" t="s">
        <v>107</v>
      </c>
      <c r="T212" t="s">
        <v>114</v>
      </c>
    </row>
    <row r="213" spans="1:20">
      <c r="A213" t="s">
        <v>24</v>
      </c>
      <c r="B213" t="s">
        <v>31</v>
      </c>
      <c r="C213" t="s">
        <v>37</v>
      </c>
      <c r="E213" s="2">
        <v>46033.98032407407</v>
      </c>
      <c r="F213" s="2">
        <v>46033.98074074074</v>
      </c>
      <c r="G213" t="s">
        <v>50</v>
      </c>
      <c r="H213" t="s">
        <v>51</v>
      </c>
      <c r="I213">
        <v>11</v>
      </c>
      <c r="J213">
        <v>23</v>
      </c>
      <c r="K213" t="s">
        <v>56</v>
      </c>
      <c r="L213" t="s">
        <v>67</v>
      </c>
      <c r="N213" t="s">
        <v>75</v>
      </c>
      <c r="O213">
        <v>36</v>
      </c>
      <c r="P213" t="s">
        <v>81</v>
      </c>
      <c r="Q213" t="s">
        <v>85</v>
      </c>
      <c r="R213" t="s">
        <v>93</v>
      </c>
      <c r="S213" t="s">
        <v>107</v>
      </c>
      <c r="T213" t="s">
        <v>114</v>
      </c>
    </row>
    <row r="214" spans="1:20">
      <c r="A214" t="s">
        <v>24</v>
      </c>
      <c r="B214" t="s">
        <v>31</v>
      </c>
      <c r="C214" t="s">
        <v>37</v>
      </c>
      <c r="E214" s="2">
        <v>46033.98074074074</v>
      </c>
      <c r="F214" s="2">
        <v>46033.98081018519</v>
      </c>
      <c r="G214" t="s">
        <v>50</v>
      </c>
      <c r="H214" t="s">
        <v>51</v>
      </c>
      <c r="I214">
        <v>11</v>
      </c>
      <c r="J214">
        <v>23</v>
      </c>
      <c r="K214" t="s">
        <v>56</v>
      </c>
      <c r="L214" t="s">
        <v>67</v>
      </c>
      <c r="N214" t="s">
        <v>74</v>
      </c>
      <c r="O214">
        <v>6</v>
      </c>
      <c r="P214" t="s">
        <v>81</v>
      </c>
      <c r="Q214" t="s">
        <v>85</v>
      </c>
      <c r="R214" t="s">
        <v>93</v>
      </c>
      <c r="S214" t="s">
        <v>107</v>
      </c>
      <c r="T214" t="s">
        <v>114</v>
      </c>
    </row>
    <row r="215" spans="1:20">
      <c r="A215" t="s">
        <v>20</v>
      </c>
      <c r="B215" t="s">
        <v>27</v>
      </c>
      <c r="C215" t="s">
        <v>36</v>
      </c>
      <c r="E215" s="2">
        <v>46033.98075231481</v>
      </c>
      <c r="F215" s="2">
        <v>46033.99211805555</v>
      </c>
      <c r="G215" t="s">
        <v>50</v>
      </c>
      <c r="H215" t="s">
        <v>51</v>
      </c>
      <c r="I215">
        <v>11</v>
      </c>
      <c r="J215">
        <v>23</v>
      </c>
      <c r="K215" t="s">
        <v>52</v>
      </c>
      <c r="L215" t="s">
        <v>66</v>
      </c>
      <c r="O215">
        <v>982</v>
      </c>
      <c r="P215" t="s">
        <v>79</v>
      </c>
      <c r="Q215" t="s">
        <v>85</v>
      </c>
      <c r="R215" t="s">
        <v>91</v>
      </c>
      <c r="S215" t="s">
        <v>105</v>
      </c>
      <c r="T215" t="s">
        <v>114</v>
      </c>
    </row>
    <row r="216" spans="1:20">
      <c r="A216" t="s">
        <v>24</v>
      </c>
      <c r="B216" t="s">
        <v>31</v>
      </c>
      <c r="C216" t="s">
        <v>39</v>
      </c>
      <c r="E216" s="2">
        <v>46033.98081018519</v>
      </c>
      <c r="F216" s="2">
        <v>46033.98137731481</v>
      </c>
      <c r="G216" t="s">
        <v>50</v>
      </c>
      <c r="H216" t="s">
        <v>51</v>
      </c>
      <c r="I216">
        <v>11</v>
      </c>
      <c r="J216">
        <v>23</v>
      </c>
      <c r="K216" t="s">
        <v>56</v>
      </c>
      <c r="L216" t="s">
        <v>67</v>
      </c>
      <c r="N216" t="s">
        <v>74</v>
      </c>
      <c r="O216">
        <v>49</v>
      </c>
      <c r="P216" t="s">
        <v>81</v>
      </c>
      <c r="Q216" t="s">
        <v>85</v>
      </c>
      <c r="R216" t="s">
        <v>93</v>
      </c>
      <c r="S216" t="s">
        <v>107</v>
      </c>
      <c r="T216" t="s">
        <v>114</v>
      </c>
    </row>
    <row r="217" spans="1:20">
      <c r="A217" t="s">
        <v>24</v>
      </c>
      <c r="B217" t="s">
        <v>31</v>
      </c>
      <c r="C217" t="s">
        <v>37</v>
      </c>
      <c r="E217" s="2">
        <v>46033.98137731481</v>
      </c>
      <c r="F217" s="2">
        <v>46033.9819212963</v>
      </c>
      <c r="G217" t="s">
        <v>50</v>
      </c>
      <c r="H217" t="s">
        <v>51</v>
      </c>
      <c r="I217">
        <v>11</v>
      </c>
      <c r="J217">
        <v>23</v>
      </c>
      <c r="K217" t="s">
        <v>56</v>
      </c>
      <c r="L217" t="s">
        <v>67</v>
      </c>
      <c r="N217" t="s">
        <v>74</v>
      </c>
      <c r="O217">
        <v>47</v>
      </c>
      <c r="P217" t="s">
        <v>81</v>
      </c>
      <c r="Q217" t="s">
        <v>85</v>
      </c>
      <c r="R217" t="s">
        <v>93</v>
      </c>
      <c r="S217" t="s">
        <v>107</v>
      </c>
      <c r="T217" t="s">
        <v>114</v>
      </c>
    </row>
    <row r="218" spans="1:20">
      <c r="A218" t="s">
        <v>24</v>
      </c>
      <c r="B218" t="s">
        <v>31</v>
      </c>
      <c r="C218" t="s">
        <v>38</v>
      </c>
      <c r="E218" s="2">
        <v>46033.9819212963</v>
      </c>
      <c r="F218" s="2">
        <v>46033.98221064815</v>
      </c>
      <c r="G218" t="s">
        <v>50</v>
      </c>
      <c r="H218" t="s">
        <v>51</v>
      </c>
      <c r="I218">
        <v>11</v>
      </c>
      <c r="J218">
        <v>23</v>
      </c>
      <c r="K218" t="s">
        <v>56</v>
      </c>
      <c r="L218" t="s">
        <v>67</v>
      </c>
      <c r="N218" t="s">
        <v>74</v>
      </c>
      <c r="O218">
        <v>25</v>
      </c>
      <c r="P218" t="s">
        <v>79</v>
      </c>
      <c r="Q218" t="s">
        <v>85</v>
      </c>
      <c r="R218" t="s">
        <v>91</v>
      </c>
      <c r="S218" t="s">
        <v>105</v>
      </c>
      <c r="T218" t="s">
        <v>114</v>
      </c>
    </row>
    <row r="219" spans="1:20">
      <c r="A219" t="s">
        <v>24</v>
      </c>
      <c r="B219" t="s">
        <v>31</v>
      </c>
      <c r="C219" t="s">
        <v>36</v>
      </c>
      <c r="E219" s="2">
        <v>46033.98221064815</v>
      </c>
      <c r="F219" s="2">
        <v>46034</v>
      </c>
      <c r="G219" t="s">
        <v>50</v>
      </c>
      <c r="H219" t="s">
        <v>51</v>
      </c>
      <c r="I219">
        <v>11</v>
      </c>
      <c r="J219">
        <v>23</v>
      </c>
      <c r="K219" t="s">
        <v>56</v>
      </c>
      <c r="L219" t="s">
        <v>67</v>
      </c>
      <c r="N219" t="s">
        <v>74</v>
      </c>
      <c r="O219">
        <v>1537</v>
      </c>
      <c r="P219" t="s">
        <v>79</v>
      </c>
      <c r="Q219" t="s">
        <v>85</v>
      </c>
      <c r="R219" t="s">
        <v>91</v>
      </c>
      <c r="S219" t="s">
        <v>105</v>
      </c>
      <c r="T219" t="s">
        <v>114</v>
      </c>
    </row>
    <row r="220" spans="1:20">
      <c r="A220" t="s">
        <v>26</v>
      </c>
      <c r="B220" t="s">
        <v>33</v>
      </c>
      <c r="C220" t="s">
        <v>35</v>
      </c>
      <c r="D220" t="s">
        <v>43</v>
      </c>
      <c r="E220" s="2">
        <v>46033.98497685185</v>
      </c>
      <c r="F220" s="2">
        <v>46033.98618055556</v>
      </c>
      <c r="G220" t="s">
        <v>50</v>
      </c>
      <c r="H220" t="s">
        <v>51</v>
      </c>
      <c r="I220">
        <v>11</v>
      </c>
      <c r="J220">
        <v>23</v>
      </c>
      <c r="L220" t="s">
        <v>68</v>
      </c>
      <c r="M220" t="s">
        <v>69</v>
      </c>
      <c r="N220" t="s">
        <v>74</v>
      </c>
      <c r="O220">
        <v>104</v>
      </c>
      <c r="P220" t="s">
        <v>43</v>
      </c>
      <c r="Q220" t="s">
        <v>84</v>
      </c>
      <c r="R220" t="s">
        <v>90</v>
      </c>
      <c r="S220" t="s">
        <v>104</v>
      </c>
      <c r="T220" t="s">
        <v>115</v>
      </c>
    </row>
    <row r="221" spans="1:20">
      <c r="A221" t="s">
        <v>26</v>
      </c>
      <c r="B221" t="s">
        <v>33</v>
      </c>
      <c r="C221" t="s">
        <v>35</v>
      </c>
      <c r="D221" t="s">
        <v>43</v>
      </c>
      <c r="E221" s="2">
        <v>46033.98618055556</v>
      </c>
      <c r="F221" s="2">
        <v>46033.98633101852</v>
      </c>
      <c r="G221" t="s">
        <v>50</v>
      </c>
      <c r="H221" t="s">
        <v>51</v>
      </c>
      <c r="I221">
        <v>11</v>
      </c>
      <c r="J221">
        <v>23</v>
      </c>
      <c r="L221" t="s">
        <v>68</v>
      </c>
      <c r="M221" t="s">
        <v>69</v>
      </c>
      <c r="N221" t="s">
        <v>74</v>
      </c>
      <c r="O221">
        <v>13</v>
      </c>
      <c r="P221" t="s">
        <v>43</v>
      </c>
      <c r="Q221" t="s">
        <v>84</v>
      </c>
      <c r="R221" t="s">
        <v>90</v>
      </c>
      <c r="S221" t="s">
        <v>104</v>
      </c>
      <c r="T221" t="s">
        <v>115</v>
      </c>
    </row>
    <row r="222" spans="1:20">
      <c r="A222" t="s">
        <v>26</v>
      </c>
      <c r="B222" t="s">
        <v>33</v>
      </c>
      <c r="C222" t="s">
        <v>35</v>
      </c>
      <c r="D222" t="s">
        <v>43</v>
      </c>
      <c r="E222" s="2">
        <v>46033.98633101852</v>
      </c>
      <c r="F222" s="2">
        <v>46033.98688657407</v>
      </c>
      <c r="G222" t="s">
        <v>50</v>
      </c>
      <c r="H222" t="s">
        <v>51</v>
      </c>
      <c r="I222">
        <v>11</v>
      </c>
      <c r="J222">
        <v>23</v>
      </c>
      <c r="L222" t="s">
        <v>68</v>
      </c>
      <c r="M222" t="s">
        <v>69</v>
      </c>
      <c r="N222" t="s">
        <v>76</v>
      </c>
      <c r="O222">
        <v>48</v>
      </c>
      <c r="P222" t="s">
        <v>43</v>
      </c>
      <c r="Q222" t="s">
        <v>84</v>
      </c>
      <c r="R222" t="s">
        <v>90</v>
      </c>
      <c r="S222" t="s">
        <v>104</v>
      </c>
      <c r="T222" t="s">
        <v>115</v>
      </c>
    </row>
    <row r="223" spans="1:20">
      <c r="A223" t="s">
        <v>26</v>
      </c>
      <c r="B223" t="s">
        <v>33</v>
      </c>
      <c r="C223" t="s">
        <v>35</v>
      </c>
      <c r="D223" t="s">
        <v>43</v>
      </c>
      <c r="E223" s="2">
        <v>46033.98688657407</v>
      </c>
      <c r="F223" s="2">
        <v>46033.98724537037</v>
      </c>
      <c r="G223" t="s">
        <v>50</v>
      </c>
      <c r="H223" t="s">
        <v>51</v>
      </c>
      <c r="I223">
        <v>11</v>
      </c>
      <c r="J223">
        <v>23</v>
      </c>
      <c r="L223" t="s">
        <v>68</v>
      </c>
      <c r="M223" t="s">
        <v>69</v>
      </c>
      <c r="N223" t="s">
        <v>74</v>
      </c>
      <c r="O223">
        <v>31</v>
      </c>
      <c r="P223" t="s">
        <v>43</v>
      </c>
      <c r="Q223" t="s">
        <v>84</v>
      </c>
      <c r="R223" t="s">
        <v>90</v>
      </c>
      <c r="S223" t="s">
        <v>104</v>
      </c>
      <c r="T223" t="s">
        <v>115</v>
      </c>
    </row>
    <row r="224" spans="1:20">
      <c r="A224" t="s">
        <v>26</v>
      </c>
      <c r="B224" t="s">
        <v>33</v>
      </c>
      <c r="C224" t="s">
        <v>35</v>
      </c>
      <c r="D224" t="s">
        <v>43</v>
      </c>
      <c r="E224" s="2">
        <v>46033.98724537037</v>
      </c>
      <c r="F224" s="2">
        <v>46033.98762731482</v>
      </c>
      <c r="G224" t="s">
        <v>50</v>
      </c>
      <c r="H224" t="s">
        <v>51</v>
      </c>
      <c r="I224">
        <v>11</v>
      </c>
      <c r="J224">
        <v>23</v>
      </c>
      <c r="L224" t="s">
        <v>68</v>
      </c>
      <c r="M224" t="s">
        <v>69</v>
      </c>
      <c r="N224" t="s">
        <v>74</v>
      </c>
      <c r="O224">
        <v>33</v>
      </c>
      <c r="P224" t="s">
        <v>43</v>
      </c>
      <c r="Q224" t="s">
        <v>84</v>
      </c>
      <c r="R224" t="s">
        <v>90</v>
      </c>
      <c r="S224" t="s">
        <v>104</v>
      </c>
      <c r="T224" t="s">
        <v>115</v>
      </c>
    </row>
    <row r="225" spans="1:20">
      <c r="A225" t="s">
        <v>26</v>
      </c>
      <c r="B225" t="s">
        <v>33</v>
      </c>
      <c r="C225" t="s">
        <v>38</v>
      </c>
      <c r="E225" s="2">
        <v>46033.98762731482</v>
      </c>
      <c r="F225" s="2">
        <v>46034</v>
      </c>
      <c r="G225" t="s">
        <v>50</v>
      </c>
      <c r="H225" t="s">
        <v>51</v>
      </c>
      <c r="I225">
        <v>11</v>
      </c>
      <c r="J225">
        <v>23</v>
      </c>
      <c r="L225" t="s">
        <v>68</v>
      </c>
      <c r="M225" t="s">
        <v>69</v>
      </c>
      <c r="N225" t="s">
        <v>74</v>
      </c>
      <c r="O225">
        <v>1069</v>
      </c>
      <c r="P225" t="s">
        <v>79</v>
      </c>
      <c r="Q225" t="s">
        <v>85</v>
      </c>
      <c r="R225" t="s">
        <v>91</v>
      </c>
      <c r="S225" t="s">
        <v>105</v>
      </c>
      <c r="T225" t="s">
        <v>114</v>
      </c>
    </row>
    <row r="226" spans="1:20">
      <c r="A226" t="s">
        <v>22</v>
      </c>
      <c r="B226" t="s">
        <v>29</v>
      </c>
      <c r="C226" t="s">
        <v>38</v>
      </c>
      <c r="E226" s="2">
        <v>46033.9885300926</v>
      </c>
      <c r="F226" s="2">
        <v>46033.99027777778</v>
      </c>
      <c r="G226" t="s">
        <v>50</v>
      </c>
      <c r="H226" t="s">
        <v>51</v>
      </c>
      <c r="I226">
        <v>11</v>
      </c>
      <c r="J226">
        <v>23</v>
      </c>
      <c r="K226" t="s">
        <v>54</v>
      </c>
      <c r="L226" t="s">
        <v>64</v>
      </c>
      <c r="M226" t="s">
        <v>69</v>
      </c>
      <c r="N226" t="s">
        <v>74</v>
      </c>
      <c r="O226">
        <v>151</v>
      </c>
      <c r="P226" t="s">
        <v>79</v>
      </c>
      <c r="Q226" t="s">
        <v>85</v>
      </c>
      <c r="R226" t="s">
        <v>91</v>
      </c>
      <c r="S226" t="s">
        <v>105</v>
      </c>
      <c r="T226" t="s">
        <v>114</v>
      </c>
    </row>
    <row r="227" spans="1:20">
      <c r="A227" t="s">
        <v>22</v>
      </c>
      <c r="B227" t="s">
        <v>29</v>
      </c>
      <c r="C227" t="s">
        <v>37</v>
      </c>
      <c r="E227" s="2">
        <v>46033.99027777778</v>
      </c>
      <c r="F227" s="2">
        <v>46033.99084490741</v>
      </c>
      <c r="G227" t="s">
        <v>50</v>
      </c>
      <c r="H227" t="s">
        <v>51</v>
      </c>
      <c r="I227">
        <v>11</v>
      </c>
      <c r="J227">
        <v>23</v>
      </c>
      <c r="K227" t="s">
        <v>54</v>
      </c>
      <c r="L227" t="s">
        <v>64</v>
      </c>
      <c r="M227" t="s">
        <v>69</v>
      </c>
      <c r="N227" t="s">
        <v>74</v>
      </c>
      <c r="O227">
        <v>49</v>
      </c>
      <c r="P227" t="s">
        <v>81</v>
      </c>
      <c r="Q227" t="s">
        <v>85</v>
      </c>
      <c r="R227" t="s">
        <v>93</v>
      </c>
      <c r="S227" t="s">
        <v>107</v>
      </c>
      <c r="T227" t="s">
        <v>114</v>
      </c>
    </row>
    <row r="228" spans="1:20">
      <c r="A228" t="s">
        <v>22</v>
      </c>
      <c r="B228" t="s">
        <v>29</v>
      </c>
      <c r="C228" t="s">
        <v>39</v>
      </c>
      <c r="E228" s="2">
        <v>46033.99084490741</v>
      </c>
      <c r="F228" s="2">
        <v>46033.99150462963</v>
      </c>
      <c r="G228" t="s">
        <v>50</v>
      </c>
      <c r="H228" t="s">
        <v>51</v>
      </c>
      <c r="I228">
        <v>11</v>
      </c>
      <c r="J228">
        <v>23</v>
      </c>
      <c r="K228" t="s">
        <v>54</v>
      </c>
      <c r="L228" t="s">
        <v>64</v>
      </c>
      <c r="M228" t="s">
        <v>69</v>
      </c>
      <c r="N228" t="s">
        <v>74</v>
      </c>
      <c r="O228">
        <v>57</v>
      </c>
      <c r="P228" t="s">
        <v>81</v>
      </c>
      <c r="Q228" t="s">
        <v>85</v>
      </c>
      <c r="R228" t="s">
        <v>93</v>
      </c>
      <c r="S228" t="s">
        <v>107</v>
      </c>
      <c r="T228" t="s">
        <v>114</v>
      </c>
    </row>
    <row r="229" spans="1:20">
      <c r="A229" t="s">
        <v>22</v>
      </c>
      <c r="B229" t="s">
        <v>29</v>
      </c>
      <c r="C229" t="s">
        <v>37</v>
      </c>
      <c r="E229" s="2">
        <v>46033.99150462963</v>
      </c>
      <c r="F229" s="2">
        <v>46033.99261574074</v>
      </c>
      <c r="G229" t="s">
        <v>50</v>
      </c>
      <c r="H229" t="s">
        <v>51</v>
      </c>
      <c r="I229">
        <v>11</v>
      </c>
      <c r="J229">
        <v>23</v>
      </c>
      <c r="K229" t="s">
        <v>54</v>
      </c>
      <c r="L229" t="s">
        <v>64</v>
      </c>
      <c r="M229" t="s">
        <v>69</v>
      </c>
      <c r="N229" t="s">
        <v>74</v>
      </c>
      <c r="O229">
        <v>96</v>
      </c>
      <c r="P229" t="s">
        <v>81</v>
      </c>
      <c r="Q229" t="s">
        <v>85</v>
      </c>
      <c r="R229" t="s">
        <v>93</v>
      </c>
      <c r="S229" t="s">
        <v>107</v>
      </c>
      <c r="T229" t="s">
        <v>114</v>
      </c>
    </row>
    <row r="230" spans="1:20">
      <c r="A230" t="s">
        <v>25</v>
      </c>
      <c r="B230" t="s">
        <v>32</v>
      </c>
      <c r="C230" t="s">
        <v>37</v>
      </c>
      <c r="E230" s="2">
        <v>46033.99209490741</v>
      </c>
      <c r="F230" s="2">
        <v>46033.99221064815</v>
      </c>
      <c r="G230" t="s">
        <v>50</v>
      </c>
      <c r="H230" t="s">
        <v>51</v>
      </c>
      <c r="I230">
        <v>11</v>
      </c>
      <c r="J230">
        <v>23</v>
      </c>
      <c r="K230" t="s">
        <v>53</v>
      </c>
      <c r="L230" t="s">
        <v>62</v>
      </c>
      <c r="M230" t="s">
        <v>69</v>
      </c>
      <c r="N230" t="s">
        <v>74</v>
      </c>
      <c r="O230">
        <v>10</v>
      </c>
      <c r="P230" t="s">
        <v>81</v>
      </c>
      <c r="Q230" t="s">
        <v>85</v>
      </c>
      <c r="R230" t="s">
        <v>93</v>
      </c>
      <c r="S230" t="s">
        <v>107</v>
      </c>
      <c r="T230" t="s">
        <v>114</v>
      </c>
    </row>
    <row r="231" spans="1:20">
      <c r="A231" t="s">
        <v>20</v>
      </c>
      <c r="B231" t="s">
        <v>27</v>
      </c>
      <c r="C231" t="s">
        <v>38</v>
      </c>
      <c r="E231" s="2">
        <v>46033.99211805555</v>
      </c>
      <c r="F231" s="2">
        <v>46033.99287037037</v>
      </c>
      <c r="G231" t="s">
        <v>50</v>
      </c>
      <c r="H231" t="s">
        <v>51</v>
      </c>
      <c r="I231">
        <v>11</v>
      </c>
      <c r="J231">
        <v>23</v>
      </c>
      <c r="K231" t="s">
        <v>52</v>
      </c>
      <c r="L231" t="s">
        <v>66</v>
      </c>
      <c r="O231">
        <v>65</v>
      </c>
      <c r="P231" t="s">
        <v>79</v>
      </c>
      <c r="Q231" t="s">
        <v>85</v>
      </c>
      <c r="R231" t="s">
        <v>91</v>
      </c>
      <c r="S231" t="s">
        <v>105</v>
      </c>
      <c r="T231" t="s">
        <v>114</v>
      </c>
    </row>
    <row r="232" spans="1:20">
      <c r="A232" t="s">
        <v>25</v>
      </c>
      <c r="B232" t="s">
        <v>32</v>
      </c>
      <c r="C232" t="s">
        <v>37</v>
      </c>
      <c r="E232" s="2">
        <v>46033.99221064815</v>
      </c>
      <c r="F232" s="2">
        <v>46033.99265046296</v>
      </c>
      <c r="G232" t="s">
        <v>50</v>
      </c>
      <c r="H232" t="s">
        <v>51</v>
      </c>
      <c r="I232">
        <v>11</v>
      </c>
      <c r="J232">
        <v>23</v>
      </c>
      <c r="K232" t="s">
        <v>53</v>
      </c>
      <c r="L232" t="s">
        <v>62</v>
      </c>
      <c r="M232" t="s">
        <v>69</v>
      </c>
      <c r="N232" t="s">
        <v>75</v>
      </c>
      <c r="O232">
        <v>38</v>
      </c>
      <c r="P232" t="s">
        <v>81</v>
      </c>
      <c r="Q232" t="s">
        <v>85</v>
      </c>
      <c r="R232" t="s">
        <v>93</v>
      </c>
      <c r="S232" t="s">
        <v>107</v>
      </c>
      <c r="T232" t="s">
        <v>114</v>
      </c>
    </row>
    <row r="233" spans="1:20">
      <c r="A233" t="s">
        <v>22</v>
      </c>
      <c r="B233" t="s">
        <v>29</v>
      </c>
      <c r="C233" t="s">
        <v>38</v>
      </c>
      <c r="E233" s="2">
        <v>46033.99261574074</v>
      </c>
      <c r="F233" s="2">
        <v>46033.99288194445</v>
      </c>
      <c r="G233" t="s">
        <v>50</v>
      </c>
      <c r="H233" t="s">
        <v>51</v>
      </c>
      <c r="I233">
        <v>11</v>
      </c>
      <c r="J233">
        <v>23</v>
      </c>
      <c r="K233" t="s">
        <v>54</v>
      </c>
      <c r="L233" t="s">
        <v>64</v>
      </c>
      <c r="M233" t="s">
        <v>69</v>
      </c>
      <c r="N233" t="s">
        <v>74</v>
      </c>
      <c r="O233">
        <v>23</v>
      </c>
      <c r="P233" t="s">
        <v>79</v>
      </c>
      <c r="Q233" t="s">
        <v>85</v>
      </c>
      <c r="R233" t="s">
        <v>91</v>
      </c>
      <c r="S233" t="s">
        <v>105</v>
      </c>
      <c r="T233" t="s">
        <v>114</v>
      </c>
    </row>
    <row r="234" spans="1:20">
      <c r="A234" t="s">
        <v>25</v>
      </c>
      <c r="B234" t="s">
        <v>32</v>
      </c>
      <c r="C234" t="s">
        <v>37</v>
      </c>
      <c r="E234" s="2">
        <v>46033.99265046296</v>
      </c>
      <c r="F234" s="2">
        <v>46033.99285879629</v>
      </c>
      <c r="G234" t="s">
        <v>50</v>
      </c>
      <c r="H234" t="s">
        <v>51</v>
      </c>
      <c r="I234">
        <v>11</v>
      </c>
      <c r="J234">
        <v>23</v>
      </c>
      <c r="K234" t="s">
        <v>53</v>
      </c>
      <c r="L234" t="s">
        <v>62</v>
      </c>
      <c r="M234" t="s">
        <v>69</v>
      </c>
      <c r="N234" t="s">
        <v>74</v>
      </c>
      <c r="O234">
        <v>18</v>
      </c>
      <c r="P234" t="s">
        <v>81</v>
      </c>
      <c r="Q234" t="s">
        <v>85</v>
      </c>
      <c r="R234" t="s">
        <v>93</v>
      </c>
      <c r="S234" t="s">
        <v>107</v>
      </c>
      <c r="T234" t="s">
        <v>114</v>
      </c>
    </row>
    <row r="235" spans="1:20">
      <c r="A235" t="s">
        <v>25</v>
      </c>
      <c r="B235" t="s">
        <v>32</v>
      </c>
      <c r="C235" t="s">
        <v>39</v>
      </c>
      <c r="E235" s="2">
        <v>46033.99285879629</v>
      </c>
      <c r="F235" s="2">
        <v>46033.99605324074</v>
      </c>
      <c r="G235" t="s">
        <v>50</v>
      </c>
      <c r="H235" t="s">
        <v>51</v>
      </c>
      <c r="I235">
        <v>11</v>
      </c>
      <c r="J235">
        <v>23</v>
      </c>
      <c r="K235" t="s">
        <v>53</v>
      </c>
      <c r="L235" t="s">
        <v>62</v>
      </c>
      <c r="M235" t="s">
        <v>69</v>
      </c>
      <c r="N235" t="s">
        <v>74</v>
      </c>
      <c r="O235">
        <v>276</v>
      </c>
      <c r="P235" t="s">
        <v>81</v>
      </c>
      <c r="Q235" t="s">
        <v>85</v>
      </c>
      <c r="R235" t="s">
        <v>93</v>
      </c>
      <c r="S235" t="s">
        <v>107</v>
      </c>
      <c r="T235" t="s">
        <v>114</v>
      </c>
    </row>
    <row r="236" spans="1:20">
      <c r="A236" t="s">
        <v>20</v>
      </c>
      <c r="B236" t="s">
        <v>27</v>
      </c>
      <c r="C236" t="s">
        <v>39</v>
      </c>
      <c r="E236" s="2">
        <v>46033.99287037037</v>
      </c>
      <c r="F236" s="2">
        <v>46033.99380787037</v>
      </c>
      <c r="G236" t="s">
        <v>50</v>
      </c>
      <c r="H236" t="s">
        <v>51</v>
      </c>
      <c r="I236">
        <v>11</v>
      </c>
      <c r="J236">
        <v>23</v>
      </c>
      <c r="K236" t="s">
        <v>52</v>
      </c>
      <c r="L236" t="s">
        <v>66</v>
      </c>
      <c r="O236">
        <v>81</v>
      </c>
      <c r="P236" t="s">
        <v>81</v>
      </c>
      <c r="Q236" t="s">
        <v>85</v>
      </c>
      <c r="R236" t="s">
        <v>93</v>
      </c>
      <c r="S236" t="s">
        <v>107</v>
      </c>
      <c r="T236" t="s">
        <v>114</v>
      </c>
    </row>
    <row r="237" spans="1:20">
      <c r="A237" t="s">
        <v>22</v>
      </c>
      <c r="B237" t="s">
        <v>29</v>
      </c>
      <c r="C237" t="s">
        <v>36</v>
      </c>
      <c r="E237" s="2">
        <v>46033.99288194445</v>
      </c>
      <c r="F237" s="2">
        <v>46034</v>
      </c>
      <c r="G237" t="s">
        <v>50</v>
      </c>
      <c r="H237" t="s">
        <v>51</v>
      </c>
      <c r="I237">
        <v>11</v>
      </c>
      <c r="J237">
        <v>23</v>
      </c>
      <c r="K237" t="s">
        <v>54</v>
      </c>
      <c r="L237" t="s">
        <v>64</v>
      </c>
      <c r="M237" t="s">
        <v>69</v>
      </c>
      <c r="N237" t="s">
        <v>74</v>
      </c>
      <c r="O237">
        <v>615</v>
      </c>
      <c r="P237" t="s">
        <v>79</v>
      </c>
      <c r="Q237" t="s">
        <v>85</v>
      </c>
      <c r="R237" t="s">
        <v>91</v>
      </c>
      <c r="S237" t="s">
        <v>105</v>
      </c>
      <c r="T237" t="s">
        <v>114</v>
      </c>
    </row>
    <row r="238" spans="1:20">
      <c r="A238" t="s">
        <v>20</v>
      </c>
      <c r="B238" t="s">
        <v>27</v>
      </c>
      <c r="C238" t="s">
        <v>38</v>
      </c>
      <c r="E238" s="2">
        <v>46033.99380787037</v>
      </c>
      <c r="F238" s="2">
        <v>46033.9969212963</v>
      </c>
      <c r="G238" t="s">
        <v>50</v>
      </c>
      <c r="H238" t="s">
        <v>51</v>
      </c>
      <c r="I238">
        <v>11</v>
      </c>
      <c r="J238">
        <v>23</v>
      </c>
      <c r="K238" t="s">
        <v>52</v>
      </c>
      <c r="L238" t="s">
        <v>66</v>
      </c>
      <c r="O238">
        <v>269</v>
      </c>
      <c r="P238" t="s">
        <v>79</v>
      </c>
      <c r="Q238" t="s">
        <v>85</v>
      </c>
      <c r="R238" t="s">
        <v>91</v>
      </c>
      <c r="S238" t="s">
        <v>105</v>
      </c>
      <c r="T238" t="s">
        <v>114</v>
      </c>
    </row>
    <row r="239" spans="1:20">
      <c r="A239" t="s">
        <v>21</v>
      </c>
      <c r="B239" t="s">
        <v>28</v>
      </c>
      <c r="C239" t="s">
        <v>35</v>
      </c>
      <c r="D239" t="s">
        <v>40</v>
      </c>
      <c r="E239" s="2">
        <v>46033.99447916666</v>
      </c>
      <c r="F239" s="2">
        <v>46034</v>
      </c>
      <c r="G239" t="s">
        <v>50</v>
      </c>
      <c r="H239" t="s">
        <v>51</v>
      </c>
      <c r="I239">
        <v>11</v>
      </c>
      <c r="J239">
        <v>23</v>
      </c>
      <c r="K239" t="s">
        <v>53</v>
      </c>
      <c r="L239" t="s">
        <v>58</v>
      </c>
      <c r="M239" t="s">
        <v>69</v>
      </c>
      <c r="N239" t="s">
        <v>74</v>
      </c>
      <c r="O239">
        <v>477</v>
      </c>
      <c r="P239" t="s">
        <v>40</v>
      </c>
      <c r="Q239" t="s">
        <v>83</v>
      </c>
      <c r="R239" t="s">
        <v>87</v>
      </c>
      <c r="S239" t="s">
        <v>101</v>
      </c>
      <c r="T239" t="s">
        <v>115</v>
      </c>
    </row>
    <row r="240" spans="1:20">
      <c r="A240" t="s">
        <v>23</v>
      </c>
      <c r="B240" t="s">
        <v>30</v>
      </c>
      <c r="C240" t="s">
        <v>38</v>
      </c>
      <c r="E240" s="2">
        <v>46033.99472222223</v>
      </c>
      <c r="F240" s="2">
        <v>46033.99520833333</v>
      </c>
      <c r="G240" t="s">
        <v>50</v>
      </c>
      <c r="H240" t="s">
        <v>51</v>
      </c>
      <c r="I240">
        <v>11</v>
      </c>
      <c r="J240">
        <v>23</v>
      </c>
      <c r="K240" t="s">
        <v>55</v>
      </c>
      <c r="L240" t="s">
        <v>65</v>
      </c>
      <c r="M240" t="s">
        <v>69</v>
      </c>
      <c r="N240" t="s">
        <v>74</v>
      </c>
      <c r="O240">
        <v>42</v>
      </c>
      <c r="P240" t="s">
        <v>79</v>
      </c>
      <c r="Q240" t="s">
        <v>85</v>
      </c>
      <c r="R240" t="s">
        <v>91</v>
      </c>
      <c r="S240" t="s">
        <v>105</v>
      </c>
      <c r="T240" t="s">
        <v>114</v>
      </c>
    </row>
    <row r="241" spans="1:20">
      <c r="A241" t="s">
        <v>23</v>
      </c>
      <c r="B241" t="s">
        <v>30</v>
      </c>
      <c r="C241" t="s">
        <v>37</v>
      </c>
      <c r="E241" s="2">
        <v>46033.99520833333</v>
      </c>
      <c r="F241" s="2">
        <v>46033.99521990741</v>
      </c>
      <c r="G241" t="s">
        <v>50</v>
      </c>
      <c r="H241" t="s">
        <v>51</v>
      </c>
      <c r="I241">
        <v>11</v>
      </c>
      <c r="J241">
        <v>23</v>
      </c>
      <c r="K241" t="s">
        <v>55</v>
      </c>
      <c r="L241" t="s">
        <v>65</v>
      </c>
      <c r="M241" t="s">
        <v>69</v>
      </c>
      <c r="N241" t="s">
        <v>74</v>
      </c>
      <c r="O241">
        <v>1</v>
      </c>
      <c r="P241" t="s">
        <v>81</v>
      </c>
      <c r="Q241" t="s">
        <v>85</v>
      </c>
      <c r="R241" t="s">
        <v>93</v>
      </c>
      <c r="S241" t="s">
        <v>107</v>
      </c>
      <c r="T241" t="s">
        <v>114</v>
      </c>
    </row>
    <row r="242" spans="1:20">
      <c r="A242" t="s">
        <v>23</v>
      </c>
      <c r="B242" t="s">
        <v>30</v>
      </c>
      <c r="C242" t="s">
        <v>37</v>
      </c>
      <c r="E242" s="2">
        <v>46033.99521990741</v>
      </c>
      <c r="F242" s="2">
        <v>46033.99542824074</v>
      </c>
      <c r="G242" t="s">
        <v>50</v>
      </c>
      <c r="H242" t="s">
        <v>51</v>
      </c>
      <c r="I242">
        <v>11</v>
      </c>
      <c r="J242">
        <v>23</v>
      </c>
      <c r="K242" t="s">
        <v>55</v>
      </c>
      <c r="L242" t="s">
        <v>65</v>
      </c>
      <c r="M242" t="s">
        <v>69</v>
      </c>
      <c r="N242" t="s">
        <v>75</v>
      </c>
      <c r="O242">
        <v>18</v>
      </c>
      <c r="P242" t="s">
        <v>81</v>
      </c>
      <c r="Q242" t="s">
        <v>85</v>
      </c>
      <c r="R242" t="s">
        <v>93</v>
      </c>
      <c r="S242" t="s">
        <v>107</v>
      </c>
      <c r="T242" t="s">
        <v>114</v>
      </c>
    </row>
    <row r="243" spans="1:20">
      <c r="A243" t="s">
        <v>23</v>
      </c>
      <c r="B243" t="s">
        <v>30</v>
      </c>
      <c r="C243" t="s">
        <v>37</v>
      </c>
      <c r="E243" s="2">
        <v>46033.99542824074</v>
      </c>
      <c r="F243" s="2">
        <v>46033.99543981482</v>
      </c>
      <c r="G243" t="s">
        <v>50</v>
      </c>
      <c r="H243" t="s">
        <v>51</v>
      </c>
      <c r="I243">
        <v>11</v>
      </c>
      <c r="J243">
        <v>23</v>
      </c>
      <c r="K243" t="s">
        <v>55</v>
      </c>
      <c r="L243" t="s">
        <v>65</v>
      </c>
      <c r="M243" t="s">
        <v>69</v>
      </c>
      <c r="N243" t="s">
        <v>74</v>
      </c>
      <c r="O243">
        <v>1</v>
      </c>
      <c r="P243" t="s">
        <v>81</v>
      </c>
      <c r="Q243" t="s">
        <v>85</v>
      </c>
      <c r="R243" t="s">
        <v>93</v>
      </c>
      <c r="S243" t="s">
        <v>107</v>
      </c>
      <c r="T243" t="s">
        <v>114</v>
      </c>
    </row>
    <row r="244" spans="1:20">
      <c r="A244" t="s">
        <v>23</v>
      </c>
      <c r="B244" t="s">
        <v>30</v>
      </c>
      <c r="C244" t="s">
        <v>39</v>
      </c>
      <c r="E244" s="2">
        <v>46033.99543981482</v>
      </c>
      <c r="F244" s="2">
        <v>46033.99578703703</v>
      </c>
      <c r="G244" t="s">
        <v>50</v>
      </c>
      <c r="H244" t="s">
        <v>51</v>
      </c>
      <c r="I244">
        <v>11</v>
      </c>
      <c r="J244">
        <v>23</v>
      </c>
      <c r="K244" t="s">
        <v>55</v>
      </c>
      <c r="L244" t="s">
        <v>65</v>
      </c>
      <c r="M244" t="s">
        <v>69</v>
      </c>
      <c r="N244" t="s">
        <v>74</v>
      </c>
      <c r="O244">
        <v>30</v>
      </c>
      <c r="P244" t="s">
        <v>81</v>
      </c>
      <c r="Q244" t="s">
        <v>85</v>
      </c>
      <c r="R244" t="s">
        <v>93</v>
      </c>
      <c r="S244" t="s">
        <v>107</v>
      </c>
      <c r="T244" t="s">
        <v>114</v>
      </c>
    </row>
    <row r="245" spans="1:20">
      <c r="A245" t="s">
        <v>23</v>
      </c>
      <c r="B245" t="s">
        <v>30</v>
      </c>
      <c r="C245" t="s">
        <v>37</v>
      </c>
      <c r="E245" s="2">
        <v>46033.99578703703</v>
      </c>
      <c r="F245" s="2">
        <v>46033.99583333333</v>
      </c>
      <c r="G245" t="s">
        <v>50</v>
      </c>
      <c r="H245" t="s">
        <v>51</v>
      </c>
      <c r="I245">
        <v>11</v>
      </c>
      <c r="J245">
        <v>23</v>
      </c>
      <c r="K245" t="s">
        <v>55</v>
      </c>
      <c r="L245" t="s">
        <v>65</v>
      </c>
      <c r="M245" t="s">
        <v>69</v>
      </c>
      <c r="N245" t="s">
        <v>74</v>
      </c>
      <c r="O245">
        <v>4</v>
      </c>
      <c r="P245" t="s">
        <v>81</v>
      </c>
      <c r="Q245" t="s">
        <v>85</v>
      </c>
      <c r="R245" t="s">
        <v>93</v>
      </c>
      <c r="S245" t="s">
        <v>107</v>
      </c>
      <c r="T245" t="s">
        <v>114</v>
      </c>
    </row>
    <row r="246" spans="1:20">
      <c r="A246" t="s">
        <v>23</v>
      </c>
      <c r="B246" t="s">
        <v>30</v>
      </c>
      <c r="C246" t="s">
        <v>37</v>
      </c>
      <c r="E246" s="2">
        <v>46033.99583333333</v>
      </c>
      <c r="F246" s="2">
        <v>46033.99636574074</v>
      </c>
      <c r="G246" t="s">
        <v>50</v>
      </c>
      <c r="H246" t="s">
        <v>51</v>
      </c>
      <c r="I246">
        <v>11</v>
      </c>
      <c r="J246">
        <v>23</v>
      </c>
      <c r="K246" t="s">
        <v>55</v>
      </c>
      <c r="L246" t="s">
        <v>65</v>
      </c>
      <c r="M246" t="s">
        <v>69</v>
      </c>
      <c r="N246" t="s">
        <v>76</v>
      </c>
      <c r="O246">
        <v>46</v>
      </c>
      <c r="P246" t="s">
        <v>81</v>
      </c>
      <c r="Q246" t="s">
        <v>85</v>
      </c>
      <c r="R246" t="s">
        <v>93</v>
      </c>
      <c r="S246" t="s">
        <v>107</v>
      </c>
      <c r="T246" t="s">
        <v>114</v>
      </c>
    </row>
    <row r="247" spans="1:20">
      <c r="A247" t="s">
        <v>25</v>
      </c>
      <c r="B247" t="s">
        <v>32</v>
      </c>
      <c r="C247" t="s">
        <v>37</v>
      </c>
      <c r="E247" s="2">
        <v>46033.99605324074</v>
      </c>
      <c r="F247" s="2">
        <v>46033.99609953703</v>
      </c>
      <c r="G247" t="s">
        <v>50</v>
      </c>
      <c r="H247" t="s">
        <v>51</v>
      </c>
      <c r="I247">
        <v>11</v>
      </c>
      <c r="J247">
        <v>23</v>
      </c>
      <c r="K247" t="s">
        <v>53</v>
      </c>
      <c r="L247" t="s">
        <v>62</v>
      </c>
      <c r="M247" t="s">
        <v>69</v>
      </c>
      <c r="N247" t="s">
        <v>74</v>
      </c>
      <c r="O247">
        <v>4</v>
      </c>
      <c r="P247" t="s">
        <v>81</v>
      </c>
      <c r="Q247" t="s">
        <v>85</v>
      </c>
      <c r="R247" t="s">
        <v>93</v>
      </c>
      <c r="S247" t="s">
        <v>107</v>
      </c>
      <c r="T247" t="s">
        <v>114</v>
      </c>
    </row>
    <row r="248" spans="1:20">
      <c r="A248" t="s">
        <v>25</v>
      </c>
      <c r="B248" t="s">
        <v>32</v>
      </c>
      <c r="C248" t="s">
        <v>37</v>
      </c>
      <c r="E248" s="2">
        <v>46033.99609953703</v>
      </c>
      <c r="F248" s="2">
        <v>46033.99704861111</v>
      </c>
      <c r="G248" t="s">
        <v>50</v>
      </c>
      <c r="H248" t="s">
        <v>51</v>
      </c>
      <c r="I248">
        <v>11</v>
      </c>
      <c r="J248">
        <v>23</v>
      </c>
      <c r="K248" t="s">
        <v>53</v>
      </c>
      <c r="L248" t="s">
        <v>62</v>
      </c>
      <c r="M248" t="s">
        <v>69</v>
      </c>
      <c r="N248" t="s">
        <v>76</v>
      </c>
      <c r="O248">
        <v>82</v>
      </c>
      <c r="P248" t="s">
        <v>81</v>
      </c>
      <c r="Q248" t="s">
        <v>85</v>
      </c>
      <c r="R248" t="s">
        <v>93</v>
      </c>
      <c r="S248" t="s">
        <v>107</v>
      </c>
      <c r="T248" t="s">
        <v>114</v>
      </c>
    </row>
    <row r="249" spans="1:20">
      <c r="A249" t="s">
        <v>23</v>
      </c>
      <c r="B249" t="s">
        <v>30</v>
      </c>
      <c r="C249" t="s">
        <v>37</v>
      </c>
      <c r="E249" s="2">
        <v>46033.99636574074</v>
      </c>
      <c r="F249" s="2">
        <v>46033.99666666667</v>
      </c>
      <c r="G249" t="s">
        <v>50</v>
      </c>
      <c r="H249" t="s">
        <v>51</v>
      </c>
      <c r="I249">
        <v>11</v>
      </c>
      <c r="J249">
        <v>23</v>
      </c>
      <c r="K249" t="s">
        <v>55</v>
      </c>
      <c r="L249" t="s">
        <v>65</v>
      </c>
      <c r="M249" t="s">
        <v>69</v>
      </c>
      <c r="N249" t="s">
        <v>74</v>
      </c>
      <c r="O249">
        <v>26</v>
      </c>
      <c r="P249" t="s">
        <v>81</v>
      </c>
      <c r="Q249" t="s">
        <v>85</v>
      </c>
      <c r="R249" t="s">
        <v>93</v>
      </c>
      <c r="S249" t="s">
        <v>107</v>
      </c>
      <c r="T249" t="s">
        <v>114</v>
      </c>
    </row>
    <row r="250" spans="1:20">
      <c r="A250" t="s">
        <v>23</v>
      </c>
      <c r="B250" t="s">
        <v>30</v>
      </c>
      <c r="C250" t="s">
        <v>38</v>
      </c>
      <c r="E250" s="2">
        <v>46033.99666666667</v>
      </c>
      <c r="F250" s="2">
        <v>46033.99688657407</v>
      </c>
      <c r="G250" t="s">
        <v>50</v>
      </c>
      <c r="H250" t="s">
        <v>51</v>
      </c>
      <c r="I250">
        <v>11</v>
      </c>
      <c r="J250">
        <v>23</v>
      </c>
      <c r="K250" t="s">
        <v>55</v>
      </c>
      <c r="L250" t="s">
        <v>65</v>
      </c>
      <c r="M250" t="s">
        <v>69</v>
      </c>
      <c r="N250" t="s">
        <v>74</v>
      </c>
      <c r="O250">
        <v>19</v>
      </c>
      <c r="P250" t="s">
        <v>79</v>
      </c>
      <c r="Q250" t="s">
        <v>85</v>
      </c>
      <c r="R250" t="s">
        <v>91</v>
      </c>
      <c r="S250" t="s">
        <v>105</v>
      </c>
      <c r="T250" t="s">
        <v>114</v>
      </c>
    </row>
    <row r="251" spans="1:20">
      <c r="A251" t="s">
        <v>23</v>
      </c>
      <c r="B251" t="s">
        <v>30</v>
      </c>
      <c r="C251" t="s">
        <v>36</v>
      </c>
      <c r="E251" s="2">
        <v>46033.99688657407</v>
      </c>
      <c r="F251" s="2">
        <v>46034</v>
      </c>
      <c r="G251" t="s">
        <v>50</v>
      </c>
      <c r="H251" t="s">
        <v>51</v>
      </c>
      <c r="I251">
        <v>11</v>
      </c>
      <c r="J251">
        <v>23</v>
      </c>
      <c r="K251" t="s">
        <v>55</v>
      </c>
      <c r="L251" t="s">
        <v>65</v>
      </c>
      <c r="M251" t="s">
        <v>69</v>
      </c>
      <c r="N251" t="s">
        <v>74</v>
      </c>
      <c r="O251">
        <v>269</v>
      </c>
      <c r="P251" t="s">
        <v>79</v>
      </c>
      <c r="Q251" t="s">
        <v>85</v>
      </c>
      <c r="R251" t="s">
        <v>91</v>
      </c>
      <c r="S251" t="s">
        <v>105</v>
      </c>
      <c r="T251" t="s">
        <v>114</v>
      </c>
    </row>
    <row r="252" spans="1:20">
      <c r="A252" t="s">
        <v>20</v>
      </c>
      <c r="B252" t="s">
        <v>27</v>
      </c>
      <c r="C252" t="s">
        <v>36</v>
      </c>
      <c r="E252" s="2">
        <v>46033.9969212963</v>
      </c>
      <c r="F252" s="2">
        <v>46034</v>
      </c>
      <c r="G252" t="s">
        <v>50</v>
      </c>
      <c r="H252" t="s">
        <v>51</v>
      </c>
      <c r="I252">
        <v>11</v>
      </c>
      <c r="J252">
        <v>23</v>
      </c>
      <c r="K252" t="s">
        <v>52</v>
      </c>
      <c r="L252" t="s">
        <v>66</v>
      </c>
      <c r="O252">
        <v>266</v>
      </c>
      <c r="P252" t="s">
        <v>79</v>
      </c>
      <c r="Q252" t="s">
        <v>85</v>
      </c>
      <c r="R252" t="s">
        <v>91</v>
      </c>
      <c r="S252" t="s">
        <v>105</v>
      </c>
      <c r="T252" t="s">
        <v>114</v>
      </c>
    </row>
    <row r="253" spans="1:20">
      <c r="A253" t="s">
        <v>25</v>
      </c>
      <c r="B253" t="s">
        <v>32</v>
      </c>
      <c r="C253" t="s">
        <v>37</v>
      </c>
      <c r="E253" s="2">
        <v>46033.99704861111</v>
      </c>
      <c r="F253" s="2">
        <v>46033.99724537037</v>
      </c>
      <c r="G253" t="s">
        <v>50</v>
      </c>
      <c r="H253" t="s">
        <v>51</v>
      </c>
      <c r="I253">
        <v>11</v>
      </c>
      <c r="J253">
        <v>23</v>
      </c>
      <c r="K253" t="s">
        <v>53</v>
      </c>
      <c r="L253" t="s">
        <v>62</v>
      </c>
      <c r="M253" t="s">
        <v>69</v>
      </c>
      <c r="N253" t="s">
        <v>74</v>
      </c>
      <c r="O253">
        <v>17</v>
      </c>
      <c r="P253" t="s">
        <v>81</v>
      </c>
      <c r="Q253" t="s">
        <v>85</v>
      </c>
      <c r="R253" t="s">
        <v>93</v>
      </c>
      <c r="S253" t="s">
        <v>107</v>
      </c>
      <c r="T253" t="s">
        <v>114</v>
      </c>
    </row>
    <row r="254" spans="1:20">
      <c r="A254" t="s">
        <v>25</v>
      </c>
      <c r="B254" t="s">
        <v>32</v>
      </c>
      <c r="C254" t="s">
        <v>38</v>
      </c>
      <c r="E254" s="2">
        <v>46033.99724537037</v>
      </c>
      <c r="F254" s="2">
        <v>46034</v>
      </c>
      <c r="G254" t="s">
        <v>50</v>
      </c>
      <c r="H254" t="s">
        <v>51</v>
      </c>
      <c r="I254">
        <v>11</v>
      </c>
      <c r="J254">
        <v>23</v>
      </c>
      <c r="K254" t="s">
        <v>53</v>
      </c>
      <c r="L254" t="s">
        <v>62</v>
      </c>
      <c r="M254" t="s">
        <v>69</v>
      </c>
      <c r="N254" t="s">
        <v>74</v>
      </c>
      <c r="O254">
        <v>238</v>
      </c>
      <c r="P254" t="s">
        <v>79</v>
      </c>
      <c r="Q254" t="s">
        <v>85</v>
      </c>
      <c r="R254" t="s">
        <v>91</v>
      </c>
      <c r="S254" t="s">
        <v>105</v>
      </c>
      <c r="T254" t="s">
        <v>114</v>
      </c>
    </row>
    <row r="255" spans="1:20">
      <c r="A255" t="s">
        <v>25</v>
      </c>
      <c r="B255" t="s">
        <v>32</v>
      </c>
      <c r="C255" t="s">
        <v>38</v>
      </c>
      <c r="E255" s="2">
        <v>46034</v>
      </c>
      <c r="F255" s="2">
        <v>46034.02837962963</v>
      </c>
      <c r="G255" t="s">
        <v>50</v>
      </c>
      <c r="H255" t="s">
        <v>51</v>
      </c>
      <c r="I255">
        <v>0</v>
      </c>
      <c r="J255">
        <v>0</v>
      </c>
      <c r="K255" t="s">
        <v>53</v>
      </c>
      <c r="L255" t="s">
        <v>62</v>
      </c>
      <c r="M255" t="s">
        <v>69</v>
      </c>
      <c r="N255" t="s">
        <v>74</v>
      </c>
      <c r="O255">
        <v>2452</v>
      </c>
      <c r="P255" t="s">
        <v>79</v>
      </c>
      <c r="Q255" t="s">
        <v>85</v>
      </c>
      <c r="R255" t="s">
        <v>91</v>
      </c>
      <c r="S255" t="s">
        <v>105</v>
      </c>
      <c r="T255" t="s">
        <v>114</v>
      </c>
    </row>
    <row r="256" spans="1:20">
      <c r="A256" t="s">
        <v>26</v>
      </c>
      <c r="B256" t="s">
        <v>33</v>
      </c>
      <c r="C256" t="s">
        <v>38</v>
      </c>
      <c r="E256" s="2">
        <v>46034</v>
      </c>
      <c r="F256" s="2">
        <v>46034.02421296296</v>
      </c>
      <c r="G256" t="s">
        <v>50</v>
      </c>
      <c r="H256" t="s">
        <v>51</v>
      </c>
      <c r="I256">
        <v>0</v>
      </c>
      <c r="J256">
        <v>0</v>
      </c>
      <c r="L256" t="s">
        <v>68</v>
      </c>
      <c r="M256" t="s">
        <v>69</v>
      </c>
      <c r="N256" t="s">
        <v>74</v>
      </c>
      <c r="O256">
        <v>2092</v>
      </c>
      <c r="P256" t="s">
        <v>79</v>
      </c>
      <c r="Q256" t="s">
        <v>85</v>
      </c>
      <c r="R256" t="s">
        <v>91</v>
      </c>
      <c r="S256" t="s">
        <v>105</v>
      </c>
      <c r="T256" t="s">
        <v>114</v>
      </c>
    </row>
    <row r="257" spans="1:20">
      <c r="A257" t="s">
        <v>20</v>
      </c>
      <c r="B257" t="s">
        <v>27</v>
      </c>
      <c r="C257" t="s">
        <v>36</v>
      </c>
      <c r="E257" s="2">
        <v>46034</v>
      </c>
      <c r="F257" s="2">
        <v>46034.00914351852</v>
      </c>
      <c r="G257" t="s">
        <v>50</v>
      </c>
      <c r="H257" t="s">
        <v>51</v>
      </c>
      <c r="I257">
        <v>0</v>
      </c>
      <c r="J257">
        <v>0</v>
      </c>
      <c r="K257" t="s">
        <v>52</v>
      </c>
      <c r="L257" t="s">
        <v>66</v>
      </c>
      <c r="O257">
        <v>790</v>
      </c>
      <c r="P257" t="s">
        <v>79</v>
      </c>
      <c r="Q257" t="s">
        <v>85</v>
      </c>
      <c r="R257" t="s">
        <v>91</v>
      </c>
      <c r="S257" t="s">
        <v>105</v>
      </c>
      <c r="T257" t="s">
        <v>114</v>
      </c>
    </row>
    <row r="258" spans="1:20">
      <c r="A258" t="s">
        <v>21</v>
      </c>
      <c r="B258" t="s">
        <v>28</v>
      </c>
      <c r="C258" t="s">
        <v>35</v>
      </c>
      <c r="D258" t="s">
        <v>40</v>
      </c>
      <c r="E258" s="2">
        <v>46034</v>
      </c>
      <c r="F258" s="2">
        <v>46034.04166666666</v>
      </c>
      <c r="G258" t="s">
        <v>50</v>
      </c>
      <c r="H258" t="s">
        <v>51</v>
      </c>
      <c r="I258">
        <v>0</v>
      </c>
      <c r="J258">
        <v>0</v>
      </c>
      <c r="K258" t="s">
        <v>53</v>
      </c>
      <c r="L258" t="s">
        <v>58</v>
      </c>
      <c r="M258" t="s">
        <v>69</v>
      </c>
      <c r="N258" t="s">
        <v>74</v>
      </c>
      <c r="O258">
        <v>3600</v>
      </c>
      <c r="P258" t="s">
        <v>40</v>
      </c>
      <c r="Q258" t="s">
        <v>83</v>
      </c>
      <c r="R258" t="s">
        <v>87</v>
      </c>
      <c r="S258" t="s">
        <v>101</v>
      </c>
      <c r="T258" t="s">
        <v>115</v>
      </c>
    </row>
    <row r="259" spans="1:20">
      <c r="A259" t="s">
        <v>22</v>
      </c>
      <c r="B259" t="s">
        <v>29</v>
      </c>
      <c r="C259" t="s">
        <v>36</v>
      </c>
      <c r="E259" s="2">
        <v>46034</v>
      </c>
      <c r="F259" s="2">
        <v>46034.0209837963</v>
      </c>
      <c r="G259" t="s">
        <v>50</v>
      </c>
      <c r="H259" t="s">
        <v>51</v>
      </c>
      <c r="I259">
        <v>0</v>
      </c>
      <c r="J259">
        <v>0</v>
      </c>
      <c r="K259" t="s">
        <v>54</v>
      </c>
      <c r="L259" t="s">
        <v>64</v>
      </c>
      <c r="M259" t="s">
        <v>69</v>
      </c>
      <c r="N259" t="s">
        <v>74</v>
      </c>
      <c r="O259">
        <v>1813</v>
      </c>
      <c r="P259" t="s">
        <v>79</v>
      </c>
      <c r="Q259" t="s">
        <v>85</v>
      </c>
      <c r="R259" t="s">
        <v>91</v>
      </c>
      <c r="S259" t="s">
        <v>105</v>
      </c>
      <c r="T259" t="s">
        <v>114</v>
      </c>
    </row>
    <row r="260" spans="1:20">
      <c r="A260" t="s">
        <v>23</v>
      </c>
      <c r="B260" t="s">
        <v>30</v>
      </c>
      <c r="C260" t="s">
        <v>36</v>
      </c>
      <c r="E260" s="2">
        <v>46034</v>
      </c>
      <c r="F260" s="2">
        <v>46034.02056712963</v>
      </c>
      <c r="G260" t="s">
        <v>50</v>
      </c>
      <c r="H260" t="s">
        <v>51</v>
      </c>
      <c r="I260">
        <v>0</v>
      </c>
      <c r="J260">
        <v>0</v>
      </c>
      <c r="K260" t="s">
        <v>55</v>
      </c>
      <c r="L260" t="s">
        <v>65</v>
      </c>
      <c r="M260" t="s">
        <v>69</v>
      </c>
      <c r="N260" t="s">
        <v>74</v>
      </c>
      <c r="O260">
        <v>1777</v>
      </c>
      <c r="P260" t="s">
        <v>79</v>
      </c>
      <c r="Q260" t="s">
        <v>85</v>
      </c>
      <c r="R260" t="s">
        <v>91</v>
      </c>
      <c r="S260" t="s">
        <v>105</v>
      </c>
      <c r="T260" t="s">
        <v>114</v>
      </c>
    </row>
    <row r="261" spans="1:20">
      <c r="A261" t="s">
        <v>24</v>
      </c>
      <c r="B261" t="s">
        <v>31</v>
      </c>
      <c r="C261" t="s">
        <v>36</v>
      </c>
      <c r="E261" s="2">
        <v>46034</v>
      </c>
      <c r="F261" s="2">
        <v>46034.00768518518</v>
      </c>
      <c r="G261" t="s">
        <v>50</v>
      </c>
      <c r="H261" t="s">
        <v>51</v>
      </c>
      <c r="I261">
        <v>0</v>
      </c>
      <c r="J261">
        <v>0</v>
      </c>
      <c r="K261" t="s">
        <v>56</v>
      </c>
      <c r="L261" t="s">
        <v>67</v>
      </c>
      <c r="N261" t="s">
        <v>74</v>
      </c>
      <c r="O261">
        <v>664</v>
      </c>
      <c r="P261" t="s">
        <v>79</v>
      </c>
      <c r="Q261" t="s">
        <v>85</v>
      </c>
      <c r="R261" t="s">
        <v>91</v>
      </c>
      <c r="S261" t="s">
        <v>105</v>
      </c>
      <c r="T261" t="s">
        <v>114</v>
      </c>
    </row>
    <row r="262" spans="1:20">
      <c r="A262" t="s">
        <v>24</v>
      </c>
      <c r="B262" t="s">
        <v>31</v>
      </c>
      <c r="C262" t="s">
        <v>38</v>
      </c>
      <c r="E262" s="2">
        <v>46034.00768518518</v>
      </c>
      <c r="F262" s="2">
        <v>46034.00943287037</v>
      </c>
      <c r="G262" t="s">
        <v>50</v>
      </c>
      <c r="H262" t="s">
        <v>51</v>
      </c>
      <c r="I262">
        <v>0</v>
      </c>
      <c r="J262">
        <v>0</v>
      </c>
      <c r="K262" t="s">
        <v>56</v>
      </c>
      <c r="L262" t="s">
        <v>67</v>
      </c>
      <c r="N262" t="s">
        <v>74</v>
      </c>
      <c r="O262">
        <v>151</v>
      </c>
      <c r="P262" t="s">
        <v>79</v>
      </c>
      <c r="Q262" t="s">
        <v>85</v>
      </c>
      <c r="R262" t="s">
        <v>91</v>
      </c>
      <c r="S262" t="s">
        <v>105</v>
      </c>
      <c r="T262" t="s">
        <v>114</v>
      </c>
    </row>
    <row r="263" spans="1:20">
      <c r="A263" t="s">
        <v>20</v>
      </c>
      <c r="B263" t="s">
        <v>27</v>
      </c>
      <c r="C263" t="s">
        <v>38</v>
      </c>
      <c r="E263" s="2">
        <v>46034.00914351852</v>
      </c>
      <c r="F263" s="2">
        <v>46034.00973379629</v>
      </c>
      <c r="G263" t="s">
        <v>50</v>
      </c>
      <c r="H263" t="s">
        <v>51</v>
      </c>
      <c r="I263">
        <v>0</v>
      </c>
      <c r="J263">
        <v>0</v>
      </c>
      <c r="K263" t="s">
        <v>52</v>
      </c>
      <c r="L263" t="s">
        <v>66</v>
      </c>
      <c r="O263">
        <v>51</v>
      </c>
      <c r="P263" t="s">
        <v>79</v>
      </c>
      <c r="Q263" t="s">
        <v>85</v>
      </c>
      <c r="R263" t="s">
        <v>91</v>
      </c>
      <c r="S263" t="s">
        <v>105</v>
      </c>
      <c r="T263" t="s">
        <v>114</v>
      </c>
    </row>
    <row r="264" spans="1:20">
      <c r="A264" t="s">
        <v>24</v>
      </c>
      <c r="B264" t="s">
        <v>31</v>
      </c>
      <c r="C264" t="s">
        <v>37</v>
      </c>
      <c r="E264" s="2">
        <v>46034.00943287037</v>
      </c>
      <c r="F264" s="2">
        <v>46034.00944444445</v>
      </c>
      <c r="G264" t="s">
        <v>50</v>
      </c>
      <c r="H264" t="s">
        <v>51</v>
      </c>
      <c r="I264">
        <v>0</v>
      </c>
      <c r="J264">
        <v>0</v>
      </c>
      <c r="K264" t="s">
        <v>56</v>
      </c>
      <c r="L264" t="s">
        <v>67</v>
      </c>
      <c r="N264" t="s">
        <v>74</v>
      </c>
      <c r="O264">
        <v>1</v>
      </c>
      <c r="P264" t="s">
        <v>81</v>
      </c>
      <c r="Q264" t="s">
        <v>85</v>
      </c>
      <c r="R264" t="s">
        <v>93</v>
      </c>
      <c r="S264" t="s">
        <v>107</v>
      </c>
      <c r="T264" t="s">
        <v>114</v>
      </c>
    </row>
    <row r="265" spans="1:20">
      <c r="A265" t="s">
        <v>24</v>
      </c>
      <c r="B265" t="s">
        <v>31</v>
      </c>
      <c r="C265" t="s">
        <v>37</v>
      </c>
      <c r="E265" s="2">
        <v>46034.00944444445</v>
      </c>
      <c r="F265" s="2">
        <v>46034.00986111111</v>
      </c>
      <c r="G265" t="s">
        <v>50</v>
      </c>
      <c r="H265" t="s">
        <v>51</v>
      </c>
      <c r="I265">
        <v>0</v>
      </c>
      <c r="J265">
        <v>0</v>
      </c>
      <c r="K265" t="s">
        <v>56</v>
      </c>
      <c r="L265" t="s">
        <v>67</v>
      </c>
      <c r="N265" t="s">
        <v>75</v>
      </c>
      <c r="O265">
        <v>36</v>
      </c>
      <c r="P265" t="s">
        <v>81</v>
      </c>
      <c r="Q265" t="s">
        <v>85</v>
      </c>
      <c r="R265" t="s">
        <v>93</v>
      </c>
      <c r="S265" t="s">
        <v>107</v>
      </c>
      <c r="T265" t="s">
        <v>114</v>
      </c>
    </row>
    <row r="266" spans="1:20">
      <c r="A266" t="s">
        <v>20</v>
      </c>
      <c r="B266" t="s">
        <v>27</v>
      </c>
      <c r="C266" t="s">
        <v>39</v>
      </c>
      <c r="E266" s="2">
        <v>46034.00973379629</v>
      </c>
      <c r="F266" s="2">
        <v>46034.01047453703</v>
      </c>
      <c r="G266" t="s">
        <v>50</v>
      </c>
      <c r="H266" t="s">
        <v>51</v>
      </c>
      <c r="I266">
        <v>0</v>
      </c>
      <c r="J266">
        <v>0</v>
      </c>
      <c r="K266" t="s">
        <v>52</v>
      </c>
      <c r="L266" t="s">
        <v>66</v>
      </c>
      <c r="O266">
        <v>64</v>
      </c>
      <c r="P266" t="s">
        <v>81</v>
      </c>
      <c r="Q266" t="s">
        <v>85</v>
      </c>
      <c r="R266" t="s">
        <v>93</v>
      </c>
      <c r="S266" t="s">
        <v>107</v>
      </c>
      <c r="T266" t="s">
        <v>114</v>
      </c>
    </row>
    <row r="267" spans="1:20">
      <c r="A267" t="s">
        <v>24</v>
      </c>
      <c r="B267" t="s">
        <v>31</v>
      </c>
      <c r="C267" t="s">
        <v>37</v>
      </c>
      <c r="E267" s="2">
        <v>46034.00986111111</v>
      </c>
      <c r="F267" s="2">
        <v>46034.01024305556</v>
      </c>
      <c r="G267" t="s">
        <v>50</v>
      </c>
      <c r="H267" t="s">
        <v>51</v>
      </c>
      <c r="I267">
        <v>0</v>
      </c>
      <c r="J267">
        <v>0</v>
      </c>
      <c r="K267" t="s">
        <v>56</v>
      </c>
      <c r="L267" t="s">
        <v>67</v>
      </c>
      <c r="N267" t="s">
        <v>74</v>
      </c>
      <c r="O267">
        <v>33</v>
      </c>
      <c r="P267" t="s">
        <v>81</v>
      </c>
      <c r="Q267" t="s">
        <v>85</v>
      </c>
      <c r="R267" t="s">
        <v>93</v>
      </c>
      <c r="S267" t="s">
        <v>107</v>
      </c>
      <c r="T267" t="s">
        <v>114</v>
      </c>
    </row>
    <row r="268" spans="1:20">
      <c r="A268" t="s">
        <v>24</v>
      </c>
      <c r="B268" t="s">
        <v>31</v>
      </c>
      <c r="C268" t="s">
        <v>39</v>
      </c>
      <c r="E268" s="2">
        <v>46034.01024305556</v>
      </c>
      <c r="F268" s="2">
        <v>46034.0109375</v>
      </c>
      <c r="G268" t="s">
        <v>50</v>
      </c>
      <c r="H268" t="s">
        <v>51</v>
      </c>
      <c r="I268">
        <v>0</v>
      </c>
      <c r="J268">
        <v>0</v>
      </c>
      <c r="K268" t="s">
        <v>56</v>
      </c>
      <c r="L268" t="s">
        <v>67</v>
      </c>
      <c r="N268" t="s">
        <v>74</v>
      </c>
      <c r="O268">
        <v>60</v>
      </c>
      <c r="P268" t="s">
        <v>81</v>
      </c>
      <c r="Q268" t="s">
        <v>85</v>
      </c>
      <c r="R268" t="s">
        <v>93</v>
      </c>
      <c r="S268" t="s">
        <v>107</v>
      </c>
      <c r="T268" t="s">
        <v>114</v>
      </c>
    </row>
    <row r="269" spans="1:20">
      <c r="A269" t="s">
        <v>20</v>
      </c>
      <c r="B269" t="s">
        <v>27</v>
      </c>
      <c r="C269" t="s">
        <v>38</v>
      </c>
      <c r="E269" s="2">
        <v>46034.01047453703</v>
      </c>
      <c r="F269" s="2">
        <v>46034.01158564815</v>
      </c>
      <c r="G269" t="s">
        <v>50</v>
      </c>
      <c r="H269" t="s">
        <v>51</v>
      </c>
      <c r="I269">
        <v>0</v>
      </c>
      <c r="J269">
        <v>0</v>
      </c>
      <c r="K269" t="s">
        <v>52</v>
      </c>
      <c r="L269" t="s">
        <v>66</v>
      </c>
      <c r="O269">
        <v>96</v>
      </c>
      <c r="P269" t="s">
        <v>79</v>
      </c>
      <c r="Q269" t="s">
        <v>85</v>
      </c>
      <c r="R269" t="s">
        <v>91</v>
      </c>
      <c r="S269" t="s">
        <v>105</v>
      </c>
      <c r="T269" t="s">
        <v>114</v>
      </c>
    </row>
    <row r="270" spans="1:20">
      <c r="A270" t="s">
        <v>24</v>
      </c>
      <c r="B270" t="s">
        <v>31</v>
      </c>
      <c r="C270" t="s">
        <v>37</v>
      </c>
      <c r="E270" s="2">
        <v>46034.0109375</v>
      </c>
      <c r="F270" s="2">
        <v>46034.0113425926</v>
      </c>
      <c r="G270" t="s">
        <v>50</v>
      </c>
      <c r="H270" t="s">
        <v>51</v>
      </c>
      <c r="I270">
        <v>0</v>
      </c>
      <c r="J270">
        <v>0</v>
      </c>
      <c r="K270" t="s">
        <v>56</v>
      </c>
      <c r="L270" t="s">
        <v>67</v>
      </c>
      <c r="N270" t="s">
        <v>74</v>
      </c>
      <c r="O270">
        <v>35</v>
      </c>
      <c r="P270" t="s">
        <v>81</v>
      </c>
      <c r="Q270" t="s">
        <v>85</v>
      </c>
      <c r="R270" t="s">
        <v>93</v>
      </c>
      <c r="S270" t="s">
        <v>107</v>
      </c>
      <c r="T270" t="s">
        <v>114</v>
      </c>
    </row>
    <row r="271" spans="1:20">
      <c r="A271" t="s">
        <v>24</v>
      </c>
      <c r="B271" t="s">
        <v>31</v>
      </c>
      <c r="C271" t="s">
        <v>38</v>
      </c>
      <c r="E271" s="2">
        <v>46034.0113425926</v>
      </c>
      <c r="F271" s="2">
        <v>46034.0114699074</v>
      </c>
      <c r="G271" t="s">
        <v>50</v>
      </c>
      <c r="H271" t="s">
        <v>51</v>
      </c>
      <c r="I271">
        <v>0</v>
      </c>
      <c r="J271">
        <v>0</v>
      </c>
      <c r="K271" t="s">
        <v>56</v>
      </c>
      <c r="L271" t="s">
        <v>67</v>
      </c>
      <c r="N271" t="s">
        <v>74</v>
      </c>
      <c r="O271">
        <v>11</v>
      </c>
      <c r="P271" t="s">
        <v>79</v>
      </c>
      <c r="Q271" t="s">
        <v>85</v>
      </c>
      <c r="R271" t="s">
        <v>91</v>
      </c>
      <c r="S271" t="s">
        <v>105</v>
      </c>
      <c r="T271" t="s">
        <v>114</v>
      </c>
    </row>
    <row r="272" spans="1:20">
      <c r="A272" t="s">
        <v>24</v>
      </c>
      <c r="B272" t="s">
        <v>31</v>
      </c>
      <c r="C272" t="s">
        <v>36</v>
      </c>
      <c r="E272" s="2">
        <v>46034.0114699074</v>
      </c>
      <c r="F272" s="2">
        <v>46034.03931712963</v>
      </c>
      <c r="G272" t="s">
        <v>50</v>
      </c>
      <c r="H272" t="s">
        <v>51</v>
      </c>
      <c r="I272">
        <v>0</v>
      </c>
      <c r="J272">
        <v>0</v>
      </c>
      <c r="K272" t="s">
        <v>56</v>
      </c>
      <c r="L272" t="s">
        <v>67</v>
      </c>
      <c r="N272" t="s">
        <v>74</v>
      </c>
      <c r="O272">
        <v>2406</v>
      </c>
      <c r="P272" t="s">
        <v>79</v>
      </c>
      <c r="Q272" t="s">
        <v>85</v>
      </c>
      <c r="R272" t="s">
        <v>91</v>
      </c>
      <c r="S272" t="s">
        <v>105</v>
      </c>
      <c r="T272" t="s">
        <v>114</v>
      </c>
    </row>
    <row r="273" spans="1:20">
      <c r="A273" t="s">
        <v>20</v>
      </c>
      <c r="B273" t="s">
        <v>27</v>
      </c>
      <c r="C273" t="s">
        <v>36</v>
      </c>
      <c r="E273" s="2">
        <v>46034.01158564815</v>
      </c>
      <c r="F273" s="2">
        <v>46034.02361111111</v>
      </c>
      <c r="G273" t="s">
        <v>50</v>
      </c>
      <c r="H273" t="s">
        <v>51</v>
      </c>
      <c r="I273">
        <v>0</v>
      </c>
      <c r="J273">
        <v>0</v>
      </c>
      <c r="K273" t="s">
        <v>52</v>
      </c>
      <c r="L273" t="s">
        <v>66</v>
      </c>
      <c r="O273">
        <v>1039</v>
      </c>
      <c r="P273" t="s">
        <v>79</v>
      </c>
      <c r="Q273" t="s">
        <v>85</v>
      </c>
      <c r="R273" t="s">
        <v>91</v>
      </c>
      <c r="S273" t="s">
        <v>105</v>
      </c>
      <c r="T273" t="s">
        <v>114</v>
      </c>
    </row>
    <row r="274" spans="1:20">
      <c r="A274" t="s">
        <v>23</v>
      </c>
      <c r="B274" t="s">
        <v>30</v>
      </c>
      <c r="C274" t="s">
        <v>38</v>
      </c>
      <c r="E274" s="2">
        <v>46034.02056712963</v>
      </c>
      <c r="F274" s="2">
        <v>46034.02112268518</v>
      </c>
      <c r="G274" t="s">
        <v>50</v>
      </c>
      <c r="H274" t="s">
        <v>51</v>
      </c>
      <c r="I274">
        <v>0</v>
      </c>
      <c r="J274">
        <v>0</v>
      </c>
      <c r="K274" t="s">
        <v>55</v>
      </c>
      <c r="L274" t="s">
        <v>65</v>
      </c>
      <c r="M274" t="s">
        <v>69</v>
      </c>
      <c r="N274" t="s">
        <v>74</v>
      </c>
      <c r="O274">
        <v>48</v>
      </c>
      <c r="P274" t="s">
        <v>79</v>
      </c>
      <c r="Q274" t="s">
        <v>85</v>
      </c>
      <c r="R274" t="s">
        <v>91</v>
      </c>
      <c r="S274" t="s">
        <v>105</v>
      </c>
      <c r="T274" t="s">
        <v>114</v>
      </c>
    </row>
    <row r="275" spans="1:20">
      <c r="A275" t="s">
        <v>22</v>
      </c>
      <c r="B275" t="s">
        <v>29</v>
      </c>
      <c r="C275" t="s">
        <v>38</v>
      </c>
      <c r="E275" s="2">
        <v>46034.0209837963</v>
      </c>
      <c r="F275" s="2">
        <v>46034.02145833334</v>
      </c>
      <c r="G275" t="s">
        <v>50</v>
      </c>
      <c r="H275" t="s">
        <v>51</v>
      </c>
      <c r="I275">
        <v>0</v>
      </c>
      <c r="J275">
        <v>0</v>
      </c>
      <c r="K275" t="s">
        <v>54</v>
      </c>
      <c r="L275" t="s">
        <v>64</v>
      </c>
      <c r="M275" t="s">
        <v>69</v>
      </c>
      <c r="N275" t="s">
        <v>74</v>
      </c>
      <c r="O275">
        <v>41</v>
      </c>
      <c r="P275" t="s">
        <v>79</v>
      </c>
      <c r="Q275" t="s">
        <v>85</v>
      </c>
      <c r="R275" t="s">
        <v>91</v>
      </c>
      <c r="S275" t="s">
        <v>105</v>
      </c>
      <c r="T275" t="s">
        <v>114</v>
      </c>
    </row>
    <row r="276" spans="1:20">
      <c r="A276" t="s">
        <v>23</v>
      </c>
      <c r="B276" t="s">
        <v>30</v>
      </c>
      <c r="C276" t="s">
        <v>37</v>
      </c>
      <c r="E276" s="2">
        <v>46034.02112268518</v>
      </c>
      <c r="F276" s="2">
        <v>46034.02113425926</v>
      </c>
      <c r="G276" t="s">
        <v>50</v>
      </c>
      <c r="H276" t="s">
        <v>51</v>
      </c>
      <c r="I276">
        <v>0</v>
      </c>
      <c r="J276">
        <v>0</v>
      </c>
      <c r="K276" t="s">
        <v>55</v>
      </c>
      <c r="L276" t="s">
        <v>65</v>
      </c>
      <c r="M276" t="s">
        <v>69</v>
      </c>
      <c r="N276" t="s">
        <v>74</v>
      </c>
      <c r="O276">
        <v>1</v>
      </c>
      <c r="P276" t="s">
        <v>81</v>
      </c>
      <c r="Q276" t="s">
        <v>85</v>
      </c>
      <c r="R276" t="s">
        <v>93</v>
      </c>
      <c r="S276" t="s">
        <v>107</v>
      </c>
      <c r="T276" t="s">
        <v>114</v>
      </c>
    </row>
    <row r="277" spans="1:20">
      <c r="A277" t="s">
        <v>23</v>
      </c>
      <c r="B277" t="s">
        <v>30</v>
      </c>
      <c r="C277" t="s">
        <v>37</v>
      </c>
      <c r="E277" s="2">
        <v>46034.02113425926</v>
      </c>
      <c r="F277" s="2">
        <v>46034.02141203704</v>
      </c>
      <c r="G277" t="s">
        <v>50</v>
      </c>
      <c r="H277" t="s">
        <v>51</v>
      </c>
      <c r="I277">
        <v>0</v>
      </c>
      <c r="J277">
        <v>0</v>
      </c>
      <c r="K277" t="s">
        <v>55</v>
      </c>
      <c r="L277" t="s">
        <v>65</v>
      </c>
      <c r="M277" t="s">
        <v>69</v>
      </c>
      <c r="N277" t="s">
        <v>75</v>
      </c>
      <c r="O277">
        <v>24</v>
      </c>
      <c r="P277" t="s">
        <v>81</v>
      </c>
      <c r="Q277" t="s">
        <v>85</v>
      </c>
      <c r="R277" t="s">
        <v>93</v>
      </c>
      <c r="S277" t="s">
        <v>107</v>
      </c>
      <c r="T277" t="s">
        <v>114</v>
      </c>
    </row>
    <row r="278" spans="1:20">
      <c r="A278" t="s">
        <v>23</v>
      </c>
      <c r="B278" t="s">
        <v>30</v>
      </c>
      <c r="C278" t="s">
        <v>37</v>
      </c>
      <c r="E278" s="2">
        <v>46034.02141203704</v>
      </c>
      <c r="F278" s="2">
        <v>46034.02159722222</v>
      </c>
      <c r="G278" t="s">
        <v>50</v>
      </c>
      <c r="H278" t="s">
        <v>51</v>
      </c>
      <c r="I278">
        <v>0</v>
      </c>
      <c r="J278">
        <v>0</v>
      </c>
      <c r="K278" t="s">
        <v>55</v>
      </c>
      <c r="L278" t="s">
        <v>65</v>
      </c>
      <c r="M278" t="s">
        <v>69</v>
      </c>
      <c r="N278" t="s">
        <v>74</v>
      </c>
      <c r="O278">
        <v>16</v>
      </c>
      <c r="P278" t="s">
        <v>81</v>
      </c>
      <c r="Q278" t="s">
        <v>85</v>
      </c>
      <c r="R278" t="s">
        <v>93</v>
      </c>
      <c r="S278" t="s">
        <v>107</v>
      </c>
      <c r="T278" t="s">
        <v>114</v>
      </c>
    </row>
    <row r="279" spans="1:20">
      <c r="A279" t="s">
        <v>22</v>
      </c>
      <c r="B279" t="s">
        <v>29</v>
      </c>
      <c r="C279" t="s">
        <v>37</v>
      </c>
      <c r="E279" s="2">
        <v>46034.02145833334</v>
      </c>
      <c r="F279" s="2">
        <v>46034.0219212963</v>
      </c>
      <c r="G279" t="s">
        <v>50</v>
      </c>
      <c r="H279" t="s">
        <v>51</v>
      </c>
      <c r="I279">
        <v>0</v>
      </c>
      <c r="J279">
        <v>0</v>
      </c>
      <c r="K279" t="s">
        <v>54</v>
      </c>
      <c r="L279" t="s">
        <v>64</v>
      </c>
      <c r="M279" t="s">
        <v>69</v>
      </c>
      <c r="N279" t="s">
        <v>74</v>
      </c>
      <c r="O279">
        <v>40</v>
      </c>
      <c r="P279" t="s">
        <v>81</v>
      </c>
      <c r="Q279" t="s">
        <v>85</v>
      </c>
      <c r="R279" t="s">
        <v>93</v>
      </c>
      <c r="S279" t="s">
        <v>107</v>
      </c>
      <c r="T279" t="s">
        <v>114</v>
      </c>
    </row>
    <row r="280" spans="1:20">
      <c r="A280" t="s">
        <v>23</v>
      </c>
      <c r="B280" t="s">
        <v>30</v>
      </c>
      <c r="C280" t="s">
        <v>39</v>
      </c>
      <c r="E280" s="2">
        <v>46034.02159722222</v>
      </c>
      <c r="F280" s="2">
        <v>46034.02315972222</v>
      </c>
      <c r="G280" t="s">
        <v>50</v>
      </c>
      <c r="H280" t="s">
        <v>51</v>
      </c>
      <c r="I280">
        <v>0</v>
      </c>
      <c r="J280">
        <v>0</v>
      </c>
      <c r="K280" t="s">
        <v>55</v>
      </c>
      <c r="L280" t="s">
        <v>65</v>
      </c>
      <c r="M280" t="s">
        <v>69</v>
      </c>
      <c r="N280" t="s">
        <v>74</v>
      </c>
      <c r="O280">
        <v>135</v>
      </c>
      <c r="P280" t="s">
        <v>81</v>
      </c>
      <c r="Q280" t="s">
        <v>85</v>
      </c>
      <c r="R280" t="s">
        <v>93</v>
      </c>
      <c r="S280" t="s">
        <v>107</v>
      </c>
      <c r="T280" t="s">
        <v>114</v>
      </c>
    </row>
    <row r="281" spans="1:20">
      <c r="A281" t="s">
        <v>22</v>
      </c>
      <c r="B281" t="s">
        <v>29</v>
      </c>
      <c r="C281" t="s">
        <v>39</v>
      </c>
      <c r="E281" s="2">
        <v>46034.0219212963</v>
      </c>
      <c r="F281" s="2">
        <v>46034.02766203704</v>
      </c>
      <c r="G281" t="s">
        <v>50</v>
      </c>
      <c r="H281" t="s">
        <v>51</v>
      </c>
      <c r="I281">
        <v>0</v>
      </c>
      <c r="J281">
        <v>0</v>
      </c>
      <c r="K281" t="s">
        <v>54</v>
      </c>
      <c r="L281" t="s">
        <v>64</v>
      </c>
      <c r="M281" t="s">
        <v>69</v>
      </c>
      <c r="N281" t="s">
        <v>74</v>
      </c>
      <c r="O281">
        <v>496</v>
      </c>
      <c r="P281" t="s">
        <v>81</v>
      </c>
      <c r="Q281" t="s">
        <v>85</v>
      </c>
      <c r="R281" t="s">
        <v>93</v>
      </c>
      <c r="S281" t="s">
        <v>107</v>
      </c>
      <c r="T281" t="s">
        <v>114</v>
      </c>
    </row>
    <row r="282" spans="1:20">
      <c r="A282" t="s">
        <v>23</v>
      </c>
      <c r="B282" t="s">
        <v>30</v>
      </c>
      <c r="C282" t="s">
        <v>37</v>
      </c>
      <c r="E282" s="2">
        <v>46034.02315972222</v>
      </c>
      <c r="F282" s="2">
        <v>46034.02399305555</v>
      </c>
      <c r="G282" t="s">
        <v>50</v>
      </c>
      <c r="H282" t="s">
        <v>51</v>
      </c>
      <c r="I282">
        <v>0</v>
      </c>
      <c r="J282">
        <v>0</v>
      </c>
      <c r="K282" t="s">
        <v>55</v>
      </c>
      <c r="L282" t="s">
        <v>65</v>
      </c>
      <c r="M282" t="s">
        <v>69</v>
      </c>
      <c r="N282" t="s">
        <v>74</v>
      </c>
      <c r="O282">
        <v>72</v>
      </c>
      <c r="P282" t="s">
        <v>81</v>
      </c>
      <c r="Q282" t="s">
        <v>85</v>
      </c>
      <c r="R282" t="s">
        <v>93</v>
      </c>
      <c r="S282" t="s">
        <v>107</v>
      </c>
      <c r="T282" t="s">
        <v>114</v>
      </c>
    </row>
    <row r="283" spans="1:20">
      <c r="A283" t="s">
        <v>20</v>
      </c>
      <c r="B283" t="s">
        <v>27</v>
      </c>
      <c r="C283" t="s">
        <v>38</v>
      </c>
      <c r="E283" s="2">
        <v>46034.02361111111</v>
      </c>
      <c r="F283" s="2">
        <v>46034.02460648148</v>
      </c>
      <c r="G283" t="s">
        <v>50</v>
      </c>
      <c r="H283" t="s">
        <v>51</v>
      </c>
      <c r="I283">
        <v>0</v>
      </c>
      <c r="J283">
        <v>0</v>
      </c>
      <c r="K283" t="s">
        <v>52</v>
      </c>
      <c r="L283" t="s">
        <v>66</v>
      </c>
      <c r="O283">
        <v>86</v>
      </c>
      <c r="P283" t="s">
        <v>79</v>
      </c>
      <c r="Q283" t="s">
        <v>85</v>
      </c>
      <c r="R283" t="s">
        <v>91</v>
      </c>
      <c r="S283" t="s">
        <v>105</v>
      </c>
      <c r="T283" t="s">
        <v>114</v>
      </c>
    </row>
    <row r="284" spans="1:20">
      <c r="A284" t="s">
        <v>23</v>
      </c>
      <c r="B284" t="s">
        <v>30</v>
      </c>
      <c r="C284" t="s">
        <v>38</v>
      </c>
      <c r="E284" s="2">
        <v>46034.02399305555</v>
      </c>
      <c r="F284" s="2">
        <v>46034.02421296296</v>
      </c>
      <c r="G284" t="s">
        <v>50</v>
      </c>
      <c r="H284" t="s">
        <v>51</v>
      </c>
      <c r="I284">
        <v>0</v>
      </c>
      <c r="J284">
        <v>0</v>
      </c>
      <c r="K284" t="s">
        <v>55</v>
      </c>
      <c r="L284" t="s">
        <v>65</v>
      </c>
      <c r="M284" t="s">
        <v>69</v>
      </c>
      <c r="N284" t="s">
        <v>74</v>
      </c>
      <c r="O284">
        <v>19</v>
      </c>
      <c r="P284" t="s">
        <v>79</v>
      </c>
      <c r="Q284" t="s">
        <v>85</v>
      </c>
      <c r="R284" t="s">
        <v>91</v>
      </c>
      <c r="S284" t="s">
        <v>105</v>
      </c>
      <c r="T284" t="s">
        <v>114</v>
      </c>
    </row>
    <row r="285" spans="1:20">
      <c r="A285" t="s">
        <v>23</v>
      </c>
      <c r="B285" t="s">
        <v>30</v>
      </c>
      <c r="C285" t="s">
        <v>36</v>
      </c>
      <c r="E285" s="2">
        <v>46034.02421296296</v>
      </c>
      <c r="F285" s="2">
        <v>46034.04166666666</v>
      </c>
      <c r="G285" t="s">
        <v>50</v>
      </c>
      <c r="H285" t="s">
        <v>51</v>
      </c>
      <c r="I285">
        <v>0</v>
      </c>
      <c r="J285">
        <v>0</v>
      </c>
      <c r="K285" t="s">
        <v>55</v>
      </c>
      <c r="L285" t="s">
        <v>65</v>
      </c>
      <c r="M285" t="s">
        <v>69</v>
      </c>
      <c r="N285" t="s">
        <v>74</v>
      </c>
      <c r="O285">
        <v>1508</v>
      </c>
      <c r="P285" t="s">
        <v>79</v>
      </c>
      <c r="Q285" t="s">
        <v>85</v>
      </c>
      <c r="R285" t="s">
        <v>91</v>
      </c>
      <c r="S285" t="s">
        <v>105</v>
      </c>
      <c r="T285" t="s">
        <v>114</v>
      </c>
    </row>
    <row r="286" spans="1:20">
      <c r="A286" t="s">
        <v>26</v>
      </c>
      <c r="B286" t="s">
        <v>33</v>
      </c>
      <c r="C286" t="s">
        <v>37</v>
      </c>
      <c r="E286" s="2">
        <v>46034.02421296296</v>
      </c>
      <c r="F286" s="2">
        <v>46034.02423611111</v>
      </c>
      <c r="G286" t="s">
        <v>50</v>
      </c>
      <c r="H286" t="s">
        <v>51</v>
      </c>
      <c r="I286">
        <v>0</v>
      </c>
      <c r="J286">
        <v>0</v>
      </c>
      <c r="L286" t="s">
        <v>68</v>
      </c>
      <c r="M286" t="s">
        <v>69</v>
      </c>
      <c r="N286" t="s">
        <v>74</v>
      </c>
      <c r="O286">
        <v>2</v>
      </c>
      <c r="P286" t="s">
        <v>81</v>
      </c>
      <c r="Q286" t="s">
        <v>85</v>
      </c>
      <c r="R286" t="s">
        <v>93</v>
      </c>
      <c r="S286" t="s">
        <v>107</v>
      </c>
      <c r="T286" t="s">
        <v>114</v>
      </c>
    </row>
    <row r="287" spans="1:20">
      <c r="A287" t="s">
        <v>26</v>
      </c>
      <c r="B287" t="s">
        <v>33</v>
      </c>
      <c r="C287" t="s">
        <v>37</v>
      </c>
      <c r="E287" s="2">
        <v>46034.02423611111</v>
      </c>
      <c r="F287" s="2">
        <v>46034.02446759259</v>
      </c>
      <c r="G287" t="s">
        <v>50</v>
      </c>
      <c r="H287" t="s">
        <v>51</v>
      </c>
      <c r="I287">
        <v>0</v>
      </c>
      <c r="J287">
        <v>0</v>
      </c>
      <c r="L287" t="s">
        <v>68</v>
      </c>
      <c r="M287" t="s">
        <v>69</v>
      </c>
      <c r="N287" t="s">
        <v>75</v>
      </c>
      <c r="O287">
        <v>20</v>
      </c>
      <c r="P287" t="s">
        <v>81</v>
      </c>
      <c r="Q287" t="s">
        <v>85</v>
      </c>
      <c r="R287" t="s">
        <v>93</v>
      </c>
      <c r="S287" t="s">
        <v>107</v>
      </c>
      <c r="T287" t="s">
        <v>114</v>
      </c>
    </row>
    <row r="288" spans="1:20">
      <c r="A288" t="s">
        <v>26</v>
      </c>
      <c r="B288" t="s">
        <v>33</v>
      </c>
      <c r="C288" t="s">
        <v>37</v>
      </c>
      <c r="E288" s="2">
        <v>46034.02446759259</v>
      </c>
      <c r="F288" s="2">
        <v>46034.02458333333</v>
      </c>
      <c r="G288" t="s">
        <v>50</v>
      </c>
      <c r="H288" t="s">
        <v>51</v>
      </c>
      <c r="I288">
        <v>0</v>
      </c>
      <c r="J288">
        <v>0</v>
      </c>
      <c r="L288" t="s">
        <v>68</v>
      </c>
      <c r="M288" t="s">
        <v>69</v>
      </c>
      <c r="N288" t="s">
        <v>74</v>
      </c>
      <c r="O288">
        <v>10</v>
      </c>
      <c r="P288" t="s">
        <v>81</v>
      </c>
      <c r="Q288" t="s">
        <v>85</v>
      </c>
      <c r="R288" t="s">
        <v>93</v>
      </c>
      <c r="S288" t="s">
        <v>107</v>
      </c>
      <c r="T288" t="s">
        <v>114</v>
      </c>
    </row>
    <row r="289" spans="1:20">
      <c r="A289" t="s">
        <v>26</v>
      </c>
      <c r="B289" t="s">
        <v>33</v>
      </c>
      <c r="C289" t="s">
        <v>39</v>
      </c>
      <c r="E289" s="2">
        <v>46034.02458333333</v>
      </c>
      <c r="F289" s="2">
        <v>46034.02603009259</v>
      </c>
      <c r="G289" t="s">
        <v>50</v>
      </c>
      <c r="H289" t="s">
        <v>51</v>
      </c>
      <c r="I289">
        <v>0</v>
      </c>
      <c r="J289">
        <v>0</v>
      </c>
      <c r="L289" t="s">
        <v>68</v>
      </c>
      <c r="M289" t="s">
        <v>69</v>
      </c>
      <c r="N289" t="s">
        <v>74</v>
      </c>
      <c r="O289">
        <v>125</v>
      </c>
      <c r="P289" t="s">
        <v>81</v>
      </c>
      <c r="Q289" t="s">
        <v>85</v>
      </c>
      <c r="R289" t="s">
        <v>93</v>
      </c>
      <c r="S289" t="s">
        <v>107</v>
      </c>
      <c r="T289" t="s">
        <v>114</v>
      </c>
    </row>
    <row r="290" spans="1:20">
      <c r="A290" t="s">
        <v>20</v>
      </c>
      <c r="B290" t="s">
        <v>27</v>
      </c>
      <c r="C290" t="s">
        <v>39</v>
      </c>
      <c r="E290" s="2">
        <v>46034.02460648148</v>
      </c>
      <c r="F290" s="2">
        <v>46034.02541666666</v>
      </c>
      <c r="G290" t="s">
        <v>50</v>
      </c>
      <c r="H290" t="s">
        <v>51</v>
      </c>
      <c r="I290">
        <v>0</v>
      </c>
      <c r="J290">
        <v>0</v>
      </c>
      <c r="K290" t="s">
        <v>52</v>
      </c>
      <c r="L290" t="s">
        <v>66</v>
      </c>
      <c r="O290">
        <v>70</v>
      </c>
      <c r="P290" t="s">
        <v>81</v>
      </c>
      <c r="Q290" t="s">
        <v>85</v>
      </c>
      <c r="R290" t="s">
        <v>93</v>
      </c>
      <c r="S290" t="s">
        <v>107</v>
      </c>
      <c r="T290" t="s">
        <v>114</v>
      </c>
    </row>
    <row r="291" spans="1:20">
      <c r="A291" t="s">
        <v>20</v>
      </c>
      <c r="B291" t="s">
        <v>27</v>
      </c>
      <c r="C291" t="s">
        <v>38</v>
      </c>
      <c r="E291" s="2">
        <v>46034.02541666666</v>
      </c>
      <c r="F291" s="2">
        <v>46034.02778935185</v>
      </c>
      <c r="G291" t="s">
        <v>50</v>
      </c>
      <c r="H291" t="s">
        <v>51</v>
      </c>
      <c r="I291">
        <v>0</v>
      </c>
      <c r="J291">
        <v>0</v>
      </c>
      <c r="K291" t="s">
        <v>52</v>
      </c>
      <c r="L291" t="s">
        <v>66</v>
      </c>
      <c r="O291">
        <v>205</v>
      </c>
      <c r="P291" t="s">
        <v>79</v>
      </c>
      <c r="Q291" t="s">
        <v>85</v>
      </c>
      <c r="R291" t="s">
        <v>91</v>
      </c>
      <c r="S291" t="s">
        <v>105</v>
      </c>
      <c r="T291" t="s">
        <v>114</v>
      </c>
    </row>
    <row r="292" spans="1:20">
      <c r="A292" t="s">
        <v>26</v>
      </c>
      <c r="B292" t="s">
        <v>33</v>
      </c>
      <c r="C292" t="s">
        <v>37</v>
      </c>
      <c r="E292" s="2">
        <v>46034.02603009259</v>
      </c>
      <c r="F292" s="2">
        <v>46034.02619212963</v>
      </c>
      <c r="G292" t="s">
        <v>50</v>
      </c>
      <c r="H292" t="s">
        <v>51</v>
      </c>
      <c r="I292">
        <v>0</v>
      </c>
      <c r="J292">
        <v>0</v>
      </c>
      <c r="L292" t="s">
        <v>68</v>
      </c>
      <c r="M292" t="s">
        <v>69</v>
      </c>
      <c r="N292" t="s">
        <v>74</v>
      </c>
      <c r="O292">
        <v>14</v>
      </c>
      <c r="P292" t="s">
        <v>81</v>
      </c>
      <c r="Q292" t="s">
        <v>85</v>
      </c>
      <c r="R292" t="s">
        <v>93</v>
      </c>
      <c r="S292" t="s">
        <v>107</v>
      </c>
      <c r="T292" t="s">
        <v>114</v>
      </c>
    </row>
    <row r="293" spans="1:20">
      <c r="A293" t="s">
        <v>26</v>
      </c>
      <c r="B293" t="s">
        <v>33</v>
      </c>
      <c r="C293" t="s">
        <v>37</v>
      </c>
      <c r="E293" s="2">
        <v>46034.02619212963</v>
      </c>
      <c r="F293" s="2">
        <v>46034.0266550926</v>
      </c>
      <c r="G293" t="s">
        <v>50</v>
      </c>
      <c r="H293" t="s">
        <v>51</v>
      </c>
      <c r="I293">
        <v>0</v>
      </c>
      <c r="J293">
        <v>0</v>
      </c>
      <c r="L293" t="s">
        <v>68</v>
      </c>
      <c r="M293" t="s">
        <v>69</v>
      </c>
      <c r="N293" t="s">
        <v>76</v>
      </c>
      <c r="O293">
        <v>40</v>
      </c>
      <c r="P293" t="s">
        <v>81</v>
      </c>
      <c r="Q293" t="s">
        <v>85</v>
      </c>
      <c r="R293" t="s">
        <v>93</v>
      </c>
      <c r="S293" t="s">
        <v>107</v>
      </c>
      <c r="T293" t="s">
        <v>114</v>
      </c>
    </row>
    <row r="294" spans="1:20">
      <c r="A294" t="s">
        <v>26</v>
      </c>
      <c r="B294" t="s">
        <v>33</v>
      </c>
      <c r="C294" t="s">
        <v>37</v>
      </c>
      <c r="E294" s="2">
        <v>46034.0266550926</v>
      </c>
      <c r="F294" s="2">
        <v>46034.02769675926</v>
      </c>
      <c r="G294" t="s">
        <v>50</v>
      </c>
      <c r="H294" t="s">
        <v>51</v>
      </c>
      <c r="I294">
        <v>0</v>
      </c>
      <c r="J294">
        <v>0</v>
      </c>
      <c r="L294" t="s">
        <v>68</v>
      </c>
      <c r="M294" t="s">
        <v>69</v>
      </c>
      <c r="N294" t="s">
        <v>74</v>
      </c>
      <c r="O294">
        <v>90</v>
      </c>
      <c r="P294" t="s">
        <v>81</v>
      </c>
      <c r="Q294" t="s">
        <v>85</v>
      </c>
      <c r="R294" t="s">
        <v>93</v>
      </c>
      <c r="S294" t="s">
        <v>107</v>
      </c>
      <c r="T294" t="s">
        <v>114</v>
      </c>
    </row>
    <row r="295" spans="1:20">
      <c r="A295" t="s">
        <v>22</v>
      </c>
      <c r="B295" t="s">
        <v>29</v>
      </c>
      <c r="C295" t="s">
        <v>37</v>
      </c>
      <c r="E295" s="2">
        <v>46034.02766203704</v>
      </c>
      <c r="F295" s="2">
        <v>46034.02850694444</v>
      </c>
      <c r="G295" t="s">
        <v>50</v>
      </c>
      <c r="H295" t="s">
        <v>51</v>
      </c>
      <c r="I295">
        <v>0</v>
      </c>
      <c r="J295">
        <v>0</v>
      </c>
      <c r="K295" t="s">
        <v>54</v>
      </c>
      <c r="L295" t="s">
        <v>64</v>
      </c>
      <c r="M295" t="s">
        <v>69</v>
      </c>
      <c r="N295" t="s">
        <v>74</v>
      </c>
      <c r="O295">
        <v>73</v>
      </c>
      <c r="P295" t="s">
        <v>81</v>
      </c>
      <c r="Q295" t="s">
        <v>85</v>
      </c>
      <c r="R295" t="s">
        <v>93</v>
      </c>
      <c r="S295" t="s">
        <v>107</v>
      </c>
      <c r="T295" t="s">
        <v>114</v>
      </c>
    </row>
    <row r="296" spans="1:20">
      <c r="A296" t="s">
        <v>26</v>
      </c>
      <c r="B296" t="s">
        <v>33</v>
      </c>
      <c r="C296" t="s">
        <v>38</v>
      </c>
      <c r="E296" s="2">
        <v>46034.02769675926</v>
      </c>
      <c r="F296" s="2">
        <v>46034.04166666666</v>
      </c>
      <c r="G296" t="s">
        <v>50</v>
      </c>
      <c r="H296" t="s">
        <v>51</v>
      </c>
      <c r="I296">
        <v>0</v>
      </c>
      <c r="J296">
        <v>0</v>
      </c>
      <c r="L296" t="s">
        <v>68</v>
      </c>
      <c r="M296" t="s">
        <v>69</v>
      </c>
      <c r="N296" t="s">
        <v>74</v>
      </c>
      <c r="O296">
        <v>1207</v>
      </c>
      <c r="P296" t="s">
        <v>79</v>
      </c>
      <c r="Q296" t="s">
        <v>85</v>
      </c>
      <c r="R296" t="s">
        <v>91</v>
      </c>
      <c r="S296" t="s">
        <v>105</v>
      </c>
      <c r="T296" t="s">
        <v>114</v>
      </c>
    </row>
    <row r="297" spans="1:20">
      <c r="A297" t="s">
        <v>20</v>
      </c>
      <c r="B297" t="s">
        <v>27</v>
      </c>
      <c r="C297" t="s">
        <v>36</v>
      </c>
      <c r="E297" s="2">
        <v>46034.02778935185</v>
      </c>
      <c r="F297" s="2">
        <v>46034.0391087963</v>
      </c>
      <c r="G297" t="s">
        <v>50</v>
      </c>
      <c r="H297" t="s">
        <v>51</v>
      </c>
      <c r="I297">
        <v>0</v>
      </c>
      <c r="J297">
        <v>0</v>
      </c>
      <c r="K297" t="s">
        <v>52</v>
      </c>
      <c r="L297" t="s">
        <v>66</v>
      </c>
      <c r="O297">
        <v>978</v>
      </c>
      <c r="P297" t="s">
        <v>79</v>
      </c>
      <c r="Q297" t="s">
        <v>85</v>
      </c>
      <c r="R297" t="s">
        <v>91</v>
      </c>
      <c r="S297" t="s">
        <v>105</v>
      </c>
      <c r="T297" t="s">
        <v>114</v>
      </c>
    </row>
    <row r="298" spans="1:20">
      <c r="A298" t="s">
        <v>25</v>
      </c>
      <c r="B298" t="s">
        <v>32</v>
      </c>
      <c r="C298" t="s">
        <v>37</v>
      </c>
      <c r="E298" s="2">
        <v>46034.02837962963</v>
      </c>
      <c r="F298" s="2">
        <v>46034.02847222222</v>
      </c>
      <c r="G298" t="s">
        <v>50</v>
      </c>
      <c r="H298" t="s">
        <v>51</v>
      </c>
      <c r="I298">
        <v>0</v>
      </c>
      <c r="J298">
        <v>0</v>
      </c>
      <c r="K298" t="s">
        <v>53</v>
      </c>
      <c r="L298" t="s">
        <v>62</v>
      </c>
      <c r="M298" t="s">
        <v>69</v>
      </c>
      <c r="N298" t="s">
        <v>74</v>
      </c>
      <c r="O298">
        <v>8</v>
      </c>
      <c r="P298" t="s">
        <v>81</v>
      </c>
      <c r="Q298" t="s">
        <v>85</v>
      </c>
      <c r="R298" t="s">
        <v>93</v>
      </c>
      <c r="S298" t="s">
        <v>107</v>
      </c>
      <c r="T298" t="s">
        <v>114</v>
      </c>
    </row>
    <row r="299" spans="1:20">
      <c r="A299" t="s">
        <v>25</v>
      </c>
      <c r="B299" t="s">
        <v>32</v>
      </c>
      <c r="C299" t="s">
        <v>37</v>
      </c>
      <c r="E299" s="2">
        <v>46034.02847222222</v>
      </c>
      <c r="F299" s="2">
        <v>46034.0284837963</v>
      </c>
      <c r="G299" t="s">
        <v>50</v>
      </c>
      <c r="H299" t="s">
        <v>51</v>
      </c>
      <c r="I299">
        <v>0</v>
      </c>
      <c r="J299">
        <v>0</v>
      </c>
      <c r="K299" t="s">
        <v>53</v>
      </c>
      <c r="L299" t="s">
        <v>62</v>
      </c>
      <c r="M299" t="s">
        <v>69</v>
      </c>
      <c r="N299" t="s">
        <v>76</v>
      </c>
      <c r="O299">
        <v>1</v>
      </c>
      <c r="P299" t="s">
        <v>81</v>
      </c>
      <c r="Q299" t="s">
        <v>85</v>
      </c>
      <c r="R299" t="s">
        <v>93</v>
      </c>
      <c r="S299" t="s">
        <v>107</v>
      </c>
      <c r="T299" t="s">
        <v>114</v>
      </c>
    </row>
    <row r="300" spans="1:20">
      <c r="A300" t="s">
        <v>25</v>
      </c>
      <c r="B300" t="s">
        <v>32</v>
      </c>
      <c r="C300" t="s">
        <v>37</v>
      </c>
      <c r="E300" s="2">
        <v>46034.0284837963</v>
      </c>
      <c r="F300" s="2">
        <v>46034.02854166667</v>
      </c>
      <c r="G300" t="s">
        <v>50</v>
      </c>
      <c r="H300" t="s">
        <v>51</v>
      </c>
      <c r="I300">
        <v>0</v>
      </c>
      <c r="J300">
        <v>0</v>
      </c>
      <c r="K300" t="s">
        <v>53</v>
      </c>
      <c r="L300" t="s">
        <v>62</v>
      </c>
      <c r="M300" t="s">
        <v>69</v>
      </c>
      <c r="N300" t="s">
        <v>74</v>
      </c>
      <c r="O300">
        <v>5</v>
      </c>
      <c r="P300" t="s">
        <v>81</v>
      </c>
      <c r="Q300" t="s">
        <v>85</v>
      </c>
      <c r="R300" t="s">
        <v>93</v>
      </c>
      <c r="S300" t="s">
        <v>107</v>
      </c>
      <c r="T300" t="s">
        <v>114</v>
      </c>
    </row>
    <row r="301" spans="1:20">
      <c r="A301" t="s">
        <v>22</v>
      </c>
      <c r="B301" t="s">
        <v>29</v>
      </c>
      <c r="C301" t="s">
        <v>38</v>
      </c>
      <c r="E301" s="2">
        <v>46034.02850694444</v>
      </c>
      <c r="F301" s="2">
        <v>46034.02863425926</v>
      </c>
      <c r="G301" t="s">
        <v>50</v>
      </c>
      <c r="H301" t="s">
        <v>51</v>
      </c>
      <c r="I301">
        <v>0</v>
      </c>
      <c r="J301">
        <v>0</v>
      </c>
      <c r="K301" t="s">
        <v>54</v>
      </c>
      <c r="L301" t="s">
        <v>64</v>
      </c>
      <c r="M301" t="s">
        <v>69</v>
      </c>
      <c r="N301" t="s">
        <v>74</v>
      </c>
      <c r="O301">
        <v>11</v>
      </c>
      <c r="P301" t="s">
        <v>79</v>
      </c>
      <c r="Q301" t="s">
        <v>85</v>
      </c>
      <c r="R301" t="s">
        <v>91</v>
      </c>
      <c r="S301" t="s">
        <v>105</v>
      </c>
      <c r="T301" t="s">
        <v>114</v>
      </c>
    </row>
    <row r="302" spans="1:20">
      <c r="A302" t="s">
        <v>25</v>
      </c>
      <c r="B302" t="s">
        <v>32</v>
      </c>
      <c r="C302" t="s">
        <v>37</v>
      </c>
      <c r="E302" s="2">
        <v>46034.02854166667</v>
      </c>
      <c r="F302" s="2">
        <v>46034.02855324074</v>
      </c>
      <c r="G302" t="s">
        <v>50</v>
      </c>
      <c r="H302" t="s">
        <v>51</v>
      </c>
      <c r="I302">
        <v>0</v>
      </c>
      <c r="J302">
        <v>0</v>
      </c>
      <c r="K302" t="s">
        <v>53</v>
      </c>
      <c r="L302" t="s">
        <v>62</v>
      </c>
      <c r="M302" t="s">
        <v>69</v>
      </c>
      <c r="N302" t="s">
        <v>76</v>
      </c>
      <c r="O302">
        <v>1</v>
      </c>
      <c r="P302" t="s">
        <v>81</v>
      </c>
      <c r="Q302" t="s">
        <v>85</v>
      </c>
      <c r="R302" t="s">
        <v>93</v>
      </c>
      <c r="S302" t="s">
        <v>107</v>
      </c>
      <c r="T302" t="s">
        <v>114</v>
      </c>
    </row>
    <row r="303" spans="1:20">
      <c r="A303" t="s">
        <v>25</v>
      </c>
      <c r="B303" t="s">
        <v>32</v>
      </c>
      <c r="C303" t="s">
        <v>37</v>
      </c>
      <c r="E303" s="2">
        <v>46034.02855324074</v>
      </c>
      <c r="F303" s="2">
        <v>46034.02863425926</v>
      </c>
      <c r="G303" t="s">
        <v>50</v>
      </c>
      <c r="H303" t="s">
        <v>51</v>
      </c>
      <c r="I303">
        <v>0</v>
      </c>
      <c r="J303">
        <v>0</v>
      </c>
      <c r="K303" t="s">
        <v>53</v>
      </c>
      <c r="L303" t="s">
        <v>62</v>
      </c>
      <c r="M303" t="s">
        <v>69</v>
      </c>
      <c r="N303" t="s">
        <v>74</v>
      </c>
      <c r="O303">
        <v>7</v>
      </c>
      <c r="P303" t="s">
        <v>81</v>
      </c>
      <c r="Q303" t="s">
        <v>85</v>
      </c>
      <c r="R303" t="s">
        <v>93</v>
      </c>
      <c r="S303" t="s">
        <v>107</v>
      </c>
      <c r="T303" t="s">
        <v>114</v>
      </c>
    </row>
    <row r="304" spans="1:20">
      <c r="A304" t="s">
        <v>25</v>
      </c>
      <c r="B304" t="s">
        <v>32</v>
      </c>
      <c r="C304" t="s">
        <v>37</v>
      </c>
      <c r="E304" s="2">
        <v>46034.02863425926</v>
      </c>
      <c r="F304" s="2">
        <v>46034.02913194444</v>
      </c>
      <c r="G304" t="s">
        <v>50</v>
      </c>
      <c r="H304" t="s">
        <v>51</v>
      </c>
      <c r="I304">
        <v>0</v>
      </c>
      <c r="J304">
        <v>0</v>
      </c>
      <c r="K304" t="s">
        <v>53</v>
      </c>
      <c r="L304" t="s">
        <v>62</v>
      </c>
      <c r="M304" t="s">
        <v>69</v>
      </c>
      <c r="N304" t="s">
        <v>75</v>
      </c>
      <c r="O304">
        <v>43</v>
      </c>
      <c r="P304" t="s">
        <v>81</v>
      </c>
      <c r="Q304" t="s">
        <v>85</v>
      </c>
      <c r="R304" t="s">
        <v>93</v>
      </c>
      <c r="S304" t="s">
        <v>107</v>
      </c>
      <c r="T304" t="s">
        <v>114</v>
      </c>
    </row>
    <row r="305" spans="1:20">
      <c r="A305" t="s">
        <v>22</v>
      </c>
      <c r="B305" t="s">
        <v>29</v>
      </c>
      <c r="C305" t="s">
        <v>36</v>
      </c>
      <c r="E305" s="2">
        <v>46034.02863425926</v>
      </c>
      <c r="F305" s="2">
        <v>46034.04166666666</v>
      </c>
      <c r="G305" t="s">
        <v>50</v>
      </c>
      <c r="H305" t="s">
        <v>51</v>
      </c>
      <c r="I305">
        <v>0</v>
      </c>
      <c r="J305">
        <v>0</v>
      </c>
      <c r="K305" t="s">
        <v>54</v>
      </c>
      <c r="L305" t="s">
        <v>64</v>
      </c>
      <c r="M305" t="s">
        <v>69</v>
      </c>
      <c r="N305" t="s">
        <v>74</v>
      </c>
      <c r="O305">
        <v>1126</v>
      </c>
      <c r="P305" t="s">
        <v>79</v>
      </c>
      <c r="Q305" t="s">
        <v>85</v>
      </c>
      <c r="R305" t="s">
        <v>91</v>
      </c>
      <c r="S305" t="s">
        <v>105</v>
      </c>
      <c r="T305" t="s">
        <v>114</v>
      </c>
    </row>
    <row r="306" spans="1:20">
      <c r="A306" t="s">
        <v>25</v>
      </c>
      <c r="B306" t="s">
        <v>32</v>
      </c>
      <c r="C306" t="s">
        <v>37</v>
      </c>
      <c r="E306" s="2">
        <v>46034.02913194444</v>
      </c>
      <c r="F306" s="2">
        <v>46034.02920138889</v>
      </c>
      <c r="G306" t="s">
        <v>50</v>
      </c>
      <c r="H306" t="s">
        <v>51</v>
      </c>
      <c r="I306">
        <v>0</v>
      </c>
      <c r="J306">
        <v>0</v>
      </c>
      <c r="K306" t="s">
        <v>53</v>
      </c>
      <c r="L306" t="s">
        <v>62</v>
      </c>
      <c r="M306" t="s">
        <v>69</v>
      </c>
      <c r="N306" t="s">
        <v>74</v>
      </c>
      <c r="O306">
        <v>6</v>
      </c>
      <c r="P306" t="s">
        <v>81</v>
      </c>
      <c r="Q306" t="s">
        <v>85</v>
      </c>
      <c r="R306" t="s">
        <v>93</v>
      </c>
      <c r="S306" t="s">
        <v>107</v>
      </c>
      <c r="T306" t="s">
        <v>114</v>
      </c>
    </row>
    <row r="307" spans="1:20">
      <c r="A307" t="s">
        <v>25</v>
      </c>
      <c r="B307" t="s">
        <v>32</v>
      </c>
      <c r="C307" t="s">
        <v>39</v>
      </c>
      <c r="E307" s="2">
        <v>46034.02920138889</v>
      </c>
      <c r="F307" s="2">
        <v>46034.03032407408</v>
      </c>
      <c r="G307" t="s">
        <v>50</v>
      </c>
      <c r="H307" t="s">
        <v>51</v>
      </c>
      <c r="I307">
        <v>0</v>
      </c>
      <c r="J307">
        <v>0</v>
      </c>
      <c r="K307" t="s">
        <v>53</v>
      </c>
      <c r="L307" t="s">
        <v>62</v>
      </c>
      <c r="M307" t="s">
        <v>69</v>
      </c>
      <c r="N307" t="s">
        <v>74</v>
      </c>
      <c r="O307">
        <v>97</v>
      </c>
      <c r="P307" t="s">
        <v>81</v>
      </c>
      <c r="Q307" t="s">
        <v>85</v>
      </c>
      <c r="R307" t="s">
        <v>93</v>
      </c>
      <c r="S307" t="s">
        <v>107</v>
      </c>
      <c r="T307" t="s">
        <v>114</v>
      </c>
    </row>
    <row r="308" spans="1:20">
      <c r="A308" t="s">
        <v>25</v>
      </c>
      <c r="B308" t="s">
        <v>32</v>
      </c>
      <c r="C308" t="s">
        <v>37</v>
      </c>
      <c r="E308" s="2">
        <v>46034.03032407408</v>
      </c>
      <c r="F308" s="2">
        <v>46034.0303587963</v>
      </c>
      <c r="G308" t="s">
        <v>50</v>
      </c>
      <c r="H308" t="s">
        <v>51</v>
      </c>
      <c r="I308">
        <v>0</v>
      </c>
      <c r="J308">
        <v>0</v>
      </c>
      <c r="K308" t="s">
        <v>53</v>
      </c>
      <c r="L308" t="s">
        <v>62</v>
      </c>
      <c r="M308" t="s">
        <v>69</v>
      </c>
      <c r="N308" t="s">
        <v>74</v>
      </c>
      <c r="O308">
        <v>3</v>
      </c>
      <c r="P308" t="s">
        <v>81</v>
      </c>
      <c r="Q308" t="s">
        <v>85</v>
      </c>
      <c r="R308" t="s">
        <v>93</v>
      </c>
      <c r="S308" t="s">
        <v>107</v>
      </c>
      <c r="T308" t="s">
        <v>114</v>
      </c>
    </row>
    <row r="309" spans="1:20">
      <c r="A309" t="s">
        <v>25</v>
      </c>
      <c r="B309" t="s">
        <v>32</v>
      </c>
      <c r="C309" t="s">
        <v>37</v>
      </c>
      <c r="E309" s="2">
        <v>46034.0303587963</v>
      </c>
      <c r="F309" s="2">
        <v>46034.03126157408</v>
      </c>
      <c r="G309" t="s">
        <v>50</v>
      </c>
      <c r="H309" t="s">
        <v>51</v>
      </c>
      <c r="I309">
        <v>0</v>
      </c>
      <c r="J309">
        <v>0</v>
      </c>
      <c r="K309" t="s">
        <v>53</v>
      </c>
      <c r="L309" t="s">
        <v>62</v>
      </c>
      <c r="M309" t="s">
        <v>69</v>
      </c>
      <c r="N309" t="s">
        <v>76</v>
      </c>
      <c r="O309">
        <v>78</v>
      </c>
      <c r="P309" t="s">
        <v>81</v>
      </c>
      <c r="Q309" t="s">
        <v>85</v>
      </c>
      <c r="R309" t="s">
        <v>93</v>
      </c>
      <c r="S309" t="s">
        <v>107</v>
      </c>
      <c r="T309" t="s">
        <v>114</v>
      </c>
    </row>
    <row r="310" spans="1:20">
      <c r="A310" t="s">
        <v>25</v>
      </c>
      <c r="B310" t="s">
        <v>32</v>
      </c>
      <c r="C310" t="s">
        <v>37</v>
      </c>
      <c r="E310" s="2">
        <v>46034.03126157408</v>
      </c>
      <c r="F310" s="2">
        <v>46034.03137731482</v>
      </c>
      <c r="G310" t="s">
        <v>50</v>
      </c>
      <c r="H310" t="s">
        <v>51</v>
      </c>
      <c r="I310">
        <v>0</v>
      </c>
      <c r="J310">
        <v>0</v>
      </c>
      <c r="K310" t="s">
        <v>53</v>
      </c>
      <c r="L310" t="s">
        <v>62</v>
      </c>
      <c r="M310" t="s">
        <v>69</v>
      </c>
      <c r="N310" t="s">
        <v>74</v>
      </c>
      <c r="O310">
        <v>10</v>
      </c>
      <c r="P310" t="s">
        <v>81</v>
      </c>
      <c r="Q310" t="s">
        <v>85</v>
      </c>
      <c r="R310" t="s">
        <v>93</v>
      </c>
      <c r="S310" t="s">
        <v>107</v>
      </c>
      <c r="T310" t="s">
        <v>114</v>
      </c>
    </row>
    <row r="311" spans="1:20">
      <c r="A311" t="s">
        <v>25</v>
      </c>
      <c r="B311" t="s">
        <v>32</v>
      </c>
      <c r="C311" t="s">
        <v>38</v>
      </c>
      <c r="E311" s="2">
        <v>46034.03137731482</v>
      </c>
      <c r="F311" s="2">
        <v>46034.04166666666</v>
      </c>
      <c r="G311" t="s">
        <v>50</v>
      </c>
      <c r="H311" t="s">
        <v>51</v>
      </c>
      <c r="I311">
        <v>0</v>
      </c>
      <c r="J311">
        <v>0</v>
      </c>
      <c r="K311" t="s">
        <v>53</v>
      </c>
      <c r="L311" t="s">
        <v>62</v>
      </c>
      <c r="M311" t="s">
        <v>69</v>
      </c>
      <c r="N311" t="s">
        <v>74</v>
      </c>
      <c r="O311">
        <v>889</v>
      </c>
      <c r="P311" t="s">
        <v>79</v>
      </c>
      <c r="Q311" t="s">
        <v>85</v>
      </c>
      <c r="R311" t="s">
        <v>91</v>
      </c>
      <c r="S311" t="s">
        <v>105</v>
      </c>
      <c r="T311" t="s">
        <v>114</v>
      </c>
    </row>
    <row r="312" spans="1:20">
      <c r="A312" t="s">
        <v>20</v>
      </c>
      <c r="B312" t="s">
        <v>27</v>
      </c>
      <c r="C312" t="s">
        <v>38</v>
      </c>
      <c r="E312" s="2">
        <v>46034.0391087963</v>
      </c>
      <c r="F312" s="2">
        <v>46034.04016203704</v>
      </c>
      <c r="G312" t="s">
        <v>50</v>
      </c>
      <c r="H312" t="s">
        <v>51</v>
      </c>
      <c r="I312">
        <v>0</v>
      </c>
      <c r="J312">
        <v>0</v>
      </c>
      <c r="K312" t="s">
        <v>52</v>
      </c>
      <c r="L312" t="s">
        <v>66</v>
      </c>
      <c r="O312">
        <v>91</v>
      </c>
      <c r="P312" t="s">
        <v>79</v>
      </c>
      <c r="Q312" t="s">
        <v>85</v>
      </c>
      <c r="R312" t="s">
        <v>91</v>
      </c>
      <c r="S312" t="s">
        <v>105</v>
      </c>
      <c r="T312" t="s">
        <v>114</v>
      </c>
    </row>
    <row r="313" spans="1:20">
      <c r="A313" t="s">
        <v>24</v>
      </c>
      <c r="B313" t="s">
        <v>31</v>
      </c>
      <c r="C313" t="s">
        <v>38</v>
      </c>
      <c r="E313" s="2">
        <v>46034.03931712963</v>
      </c>
      <c r="F313" s="2">
        <v>46034.04166666666</v>
      </c>
      <c r="G313" t="s">
        <v>50</v>
      </c>
      <c r="H313" t="s">
        <v>51</v>
      </c>
      <c r="I313">
        <v>0</v>
      </c>
      <c r="J313">
        <v>0</v>
      </c>
      <c r="K313" t="s">
        <v>56</v>
      </c>
      <c r="L313" t="s">
        <v>67</v>
      </c>
      <c r="N313" t="s">
        <v>74</v>
      </c>
      <c r="O313">
        <v>203</v>
      </c>
      <c r="P313" t="s">
        <v>79</v>
      </c>
      <c r="Q313" t="s">
        <v>85</v>
      </c>
      <c r="R313" t="s">
        <v>91</v>
      </c>
      <c r="S313" t="s">
        <v>105</v>
      </c>
      <c r="T313" t="s">
        <v>114</v>
      </c>
    </row>
    <row r="314" spans="1:20">
      <c r="A314" t="s">
        <v>20</v>
      </c>
      <c r="B314" t="s">
        <v>27</v>
      </c>
      <c r="C314" t="s">
        <v>39</v>
      </c>
      <c r="E314" s="2">
        <v>46034.04016203704</v>
      </c>
      <c r="F314" s="2">
        <v>46034.04158564815</v>
      </c>
      <c r="G314" t="s">
        <v>50</v>
      </c>
      <c r="H314" t="s">
        <v>51</v>
      </c>
      <c r="I314">
        <v>0</v>
      </c>
      <c r="J314">
        <v>0</v>
      </c>
      <c r="K314" t="s">
        <v>52</v>
      </c>
      <c r="L314" t="s">
        <v>66</v>
      </c>
      <c r="O314">
        <v>123</v>
      </c>
      <c r="P314" t="s">
        <v>81</v>
      </c>
      <c r="Q314" t="s">
        <v>85</v>
      </c>
      <c r="R314" t="s">
        <v>93</v>
      </c>
      <c r="S314" t="s">
        <v>107</v>
      </c>
      <c r="T314" t="s">
        <v>114</v>
      </c>
    </row>
    <row r="315" spans="1:20">
      <c r="A315" t="s">
        <v>20</v>
      </c>
      <c r="B315" t="s">
        <v>27</v>
      </c>
      <c r="C315" t="s">
        <v>38</v>
      </c>
      <c r="E315" s="2">
        <v>46034.04158564815</v>
      </c>
      <c r="F315" s="2">
        <v>46034.04166666666</v>
      </c>
      <c r="G315" t="s">
        <v>50</v>
      </c>
      <c r="H315" t="s">
        <v>51</v>
      </c>
      <c r="I315">
        <v>0</v>
      </c>
      <c r="J315">
        <v>0</v>
      </c>
      <c r="K315" t="s">
        <v>52</v>
      </c>
      <c r="L315" t="s">
        <v>66</v>
      </c>
      <c r="O315">
        <v>7</v>
      </c>
      <c r="P315" t="s">
        <v>79</v>
      </c>
      <c r="Q315" t="s">
        <v>85</v>
      </c>
      <c r="R315" t="s">
        <v>91</v>
      </c>
      <c r="S315" t="s">
        <v>105</v>
      </c>
      <c r="T315" t="s">
        <v>114</v>
      </c>
    </row>
    <row r="316" spans="1:20">
      <c r="A316" t="s">
        <v>20</v>
      </c>
      <c r="B316" t="s">
        <v>27</v>
      </c>
      <c r="C316" t="s">
        <v>38</v>
      </c>
      <c r="E316" s="2">
        <v>46034.04166666666</v>
      </c>
      <c r="F316" s="2">
        <v>46034.04248842593</v>
      </c>
      <c r="G316" t="s">
        <v>50</v>
      </c>
      <c r="H316" t="s">
        <v>51</v>
      </c>
      <c r="I316">
        <v>1</v>
      </c>
      <c r="J316">
        <v>1</v>
      </c>
      <c r="K316" t="s">
        <v>52</v>
      </c>
      <c r="L316" t="s">
        <v>66</v>
      </c>
      <c r="O316">
        <v>71</v>
      </c>
      <c r="P316" t="s">
        <v>79</v>
      </c>
      <c r="Q316" t="s">
        <v>85</v>
      </c>
      <c r="R316" t="s">
        <v>91</v>
      </c>
      <c r="S316" t="s">
        <v>105</v>
      </c>
      <c r="T316" t="s">
        <v>114</v>
      </c>
    </row>
    <row r="317" spans="1:20">
      <c r="A317" t="s">
        <v>22</v>
      </c>
      <c r="B317" t="s">
        <v>29</v>
      </c>
      <c r="C317" t="s">
        <v>36</v>
      </c>
      <c r="E317" s="2">
        <v>46034.04166666666</v>
      </c>
      <c r="F317" s="2">
        <v>46034.05652777778</v>
      </c>
      <c r="G317" t="s">
        <v>50</v>
      </c>
      <c r="H317" t="s">
        <v>51</v>
      </c>
      <c r="I317">
        <v>1</v>
      </c>
      <c r="J317">
        <v>1</v>
      </c>
      <c r="K317" t="s">
        <v>54</v>
      </c>
      <c r="L317" t="s">
        <v>64</v>
      </c>
      <c r="M317" t="s">
        <v>69</v>
      </c>
      <c r="N317" t="s">
        <v>74</v>
      </c>
      <c r="O317">
        <v>1284</v>
      </c>
      <c r="P317" t="s">
        <v>79</v>
      </c>
      <c r="Q317" t="s">
        <v>85</v>
      </c>
      <c r="R317" t="s">
        <v>91</v>
      </c>
      <c r="S317" t="s">
        <v>105</v>
      </c>
      <c r="T317" t="s">
        <v>114</v>
      </c>
    </row>
    <row r="318" spans="1:20">
      <c r="A318" t="s">
        <v>21</v>
      </c>
      <c r="B318" t="s">
        <v>28</v>
      </c>
      <c r="C318" t="s">
        <v>35</v>
      </c>
      <c r="D318" t="s">
        <v>40</v>
      </c>
      <c r="E318" s="2">
        <v>46034.04166666666</v>
      </c>
      <c r="F318" s="2">
        <v>46034.06473379629</v>
      </c>
      <c r="G318" t="s">
        <v>50</v>
      </c>
      <c r="H318" t="s">
        <v>51</v>
      </c>
      <c r="I318">
        <v>1</v>
      </c>
      <c r="J318">
        <v>1</v>
      </c>
      <c r="K318" t="s">
        <v>53</v>
      </c>
      <c r="L318" t="s">
        <v>58</v>
      </c>
      <c r="M318" t="s">
        <v>69</v>
      </c>
      <c r="N318" t="s">
        <v>74</v>
      </c>
      <c r="O318">
        <v>1993</v>
      </c>
      <c r="P318" t="s">
        <v>40</v>
      </c>
      <c r="Q318" t="s">
        <v>83</v>
      </c>
      <c r="R318" t="s">
        <v>87</v>
      </c>
      <c r="S318" t="s">
        <v>101</v>
      </c>
      <c r="T318" t="s">
        <v>115</v>
      </c>
    </row>
    <row r="319" spans="1:20">
      <c r="A319" t="s">
        <v>24</v>
      </c>
      <c r="B319" t="s">
        <v>31</v>
      </c>
      <c r="C319" t="s">
        <v>38</v>
      </c>
      <c r="E319" s="2">
        <v>46034.04166666666</v>
      </c>
      <c r="F319" s="2">
        <v>46034.04247685185</v>
      </c>
      <c r="G319" t="s">
        <v>50</v>
      </c>
      <c r="H319" t="s">
        <v>51</v>
      </c>
      <c r="I319">
        <v>1</v>
      </c>
      <c r="J319">
        <v>1</v>
      </c>
      <c r="K319" t="s">
        <v>56</v>
      </c>
      <c r="L319" t="s">
        <v>67</v>
      </c>
      <c r="N319" t="s">
        <v>74</v>
      </c>
      <c r="O319">
        <v>70</v>
      </c>
      <c r="P319" t="s">
        <v>79</v>
      </c>
      <c r="Q319" t="s">
        <v>85</v>
      </c>
      <c r="R319" t="s">
        <v>91</v>
      </c>
      <c r="S319" t="s">
        <v>105</v>
      </c>
      <c r="T319" t="s">
        <v>114</v>
      </c>
    </row>
    <row r="320" spans="1:20">
      <c r="A320" t="s">
        <v>23</v>
      </c>
      <c r="B320" t="s">
        <v>30</v>
      </c>
      <c r="C320" t="s">
        <v>36</v>
      </c>
      <c r="E320" s="2">
        <v>46034.04166666666</v>
      </c>
      <c r="F320" s="2">
        <v>46034.04672453704</v>
      </c>
      <c r="G320" t="s">
        <v>50</v>
      </c>
      <c r="H320" t="s">
        <v>51</v>
      </c>
      <c r="I320">
        <v>1</v>
      </c>
      <c r="J320">
        <v>1</v>
      </c>
      <c r="K320" t="s">
        <v>55</v>
      </c>
      <c r="L320" t="s">
        <v>65</v>
      </c>
      <c r="M320" t="s">
        <v>69</v>
      </c>
      <c r="N320" t="s">
        <v>74</v>
      </c>
      <c r="O320">
        <v>437</v>
      </c>
      <c r="P320" t="s">
        <v>79</v>
      </c>
      <c r="Q320" t="s">
        <v>85</v>
      </c>
      <c r="R320" t="s">
        <v>91</v>
      </c>
      <c r="S320" t="s">
        <v>105</v>
      </c>
      <c r="T320" t="s">
        <v>114</v>
      </c>
    </row>
    <row r="321" spans="1:20">
      <c r="A321" t="s">
        <v>25</v>
      </c>
      <c r="B321" t="s">
        <v>32</v>
      </c>
      <c r="C321" t="s">
        <v>38</v>
      </c>
      <c r="E321" s="2">
        <v>46034.04166666666</v>
      </c>
      <c r="F321" s="2">
        <v>46034.06217592592</v>
      </c>
      <c r="G321" t="s">
        <v>50</v>
      </c>
      <c r="H321" t="s">
        <v>51</v>
      </c>
      <c r="I321">
        <v>1</v>
      </c>
      <c r="J321">
        <v>1</v>
      </c>
      <c r="K321" t="s">
        <v>53</v>
      </c>
      <c r="L321" t="s">
        <v>62</v>
      </c>
      <c r="M321" t="s">
        <v>69</v>
      </c>
      <c r="N321" t="s">
        <v>74</v>
      </c>
      <c r="O321">
        <v>1772</v>
      </c>
      <c r="P321" t="s">
        <v>79</v>
      </c>
      <c r="Q321" t="s">
        <v>85</v>
      </c>
      <c r="R321" t="s">
        <v>91</v>
      </c>
      <c r="S321" t="s">
        <v>105</v>
      </c>
      <c r="T321" t="s">
        <v>114</v>
      </c>
    </row>
    <row r="322" spans="1:20">
      <c r="A322" t="s">
        <v>26</v>
      </c>
      <c r="B322" t="s">
        <v>33</v>
      </c>
      <c r="C322" t="s">
        <v>38</v>
      </c>
      <c r="E322" s="2">
        <v>46034.04166666666</v>
      </c>
      <c r="F322" s="2">
        <v>46034.05761574074</v>
      </c>
      <c r="G322" t="s">
        <v>50</v>
      </c>
      <c r="H322" t="s">
        <v>51</v>
      </c>
      <c r="I322">
        <v>1</v>
      </c>
      <c r="J322">
        <v>1</v>
      </c>
      <c r="L322" t="s">
        <v>68</v>
      </c>
      <c r="M322" t="s">
        <v>69</v>
      </c>
      <c r="N322" t="s">
        <v>74</v>
      </c>
      <c r="O322">
        <v>1378</v>
      </c>
      <c r="P322" t="s">
        <v>79</v>
      </c>
      <c r="Q322" t="s">
        <v>85</v>
      </c>
      <c r="R322" t="s">
        <v>91</v>
      </c>
      <c r="S322" t="s">
        <v>105</v>
      </c>
      <c r="T322" t="s">
        <v>114</v>
      </c>
    </row>
    <row r="323" spans="1:20">
      <c r="A323" t="s">
        <v>24</v>
      </c>
      <c r="B323" t="s">
        <v>31</v>
      </c>
      <c r="C323" t="s">
        <v>37</v>
      </c>
      <c r="E323" s="2">
        <v>46034.04247685185</v>
      </c>
      <c r="F323" s="2">
        <v>46034.04248842593</v>
      </c>
      <c r="G323" t="s">
        <v>50</v>
      </c>
      <c r="H323" t="s">
        <v>51</v>
      </c>
      <c r="I323">
        <v>1</v>
      </c>
      <c r="J323">
        <v>1</v>
      </c>
      <c r="K323" t="s">
        <v>56</v>
      </c>
      <c r="L323" t="s">
        <v>67</v>
      </c>
      <c r="N323" t="s">
        <v>74</v>
      </c>
      <c r="O323">
        <v>1</v>
      </c>
      <c r="P323" t="s">
        <v>81</v>
      </c>
      <c r="Q323" t="s">
        <v>85</v>
      </c>
      <c r="R323" t="s">
        <v>93</v>
      </c>
      <c r="S323" t="s">
        <v>107</v>
      </c>
      <c r="T323" t="s">
        <v>114</v>
      </c>
    </row>
    <row r="324" spans="1:20">
      <c r="A324" t="s">
        <v>24</v>
      </c>
      <c r="B324" t="s">
        <v>31</v>
      </c>
      <c r="C324" t="s">
        <v>37</v>
      </c>
      <c r="E324" s="2">
        <v>46034.04248842593</v>
      </c>
      <c r="F324" s="2">
        <v>46034.04288194444</v>
      </c>
      <c r="G324" t="s">
        <v>50</v>
      </c>
      <c r="H324" t="s">
        <v>51</v>
      </c>
      <c r="I324">
        <v>1</v>
      </c>
      <c r="J324">
        <v>1</v>
      </c>
      <c r="K324" t="s">
        <v>56</v>
      </c>
      <c r="L324" t="s">
        <v>67</v>
      </c>
      <c r="N324" t="s">
        <v>75</v>
      </c>
      <c r="O324">
        <v>34</v>
      </c>
      <c r="P324" t="s">
        <v>81</v>
      </c>
      <c r="Q324" t="s">
        <v>85</v>
      </c>
      <c r="R324" t="s">
        <v>93</v>
      </c>
      <c r="S324" t="s">
        <v>107</v>
      </c>
      <c r="T324" t="s">
        <v>114</v>
      </c>
    </row>
    <row r="325" spans="1:20">
      <c r="A325" t="s">
        <v>20</v>
      </c>
      <c r="B325" t="s">
        <v>27</v>
      </c>
      <c r="C325" t="s">
        <v>36</v>
      </c>
      <c r="E325" s="2">
        <v>46034.04248842593</v>
      </c>
      <c r="F325" s="2">
        <v>46034.05292824074</v>
      </c>
      <c r="G325" t="s">
        <v>50</v>
      </c>
      <c r="H325" t="s">
        <v>51</v>
      </c>
      <c r="I325">
        <v>1</v>
      </c>
      <c r="J325">
        <v>1</v>
      </c>
      <c r="K325" t="s">
        <v>52</v>
      </c>
      <c r="L325" t="s">
        <v>66</v>
      </c>
      <c r="O325">
        <v>902</v>
      </c>
      <c r="P325" t="s">
        <v>79</v>
      </c>
      <c r="Q325" t="s">
        <v>85</v>
      </c>
      <c r="R325" t="s">
        <v>91</v>
      </c>
      <c r="S325" t="s">
        <v>105</v>
      </c>
      <c r="T325" t="s">
        <v>114</v>
      </c>
    </row>
    <row r="326" spans="1:20">
      <c r="A326" t="s">
        <v>24</v>
      </c>
      <c r="B326" t="s">
        <v>31</v>
      </c>
      <c r="C326" t="s">
        <v>37</v>
      </c>
      <c r="E326" s="2">
        <v>46034.04288194444</v>
      </c>
      <c r="F326" s="2">
        <v>46034.04296296297</v>
      </c>
      <c r="G326" t="s">
        <v>50</v>
      </c>
      <c r="H326" t="s">
        <v>51</v>
      </c>
      <c r="I326">
        <v>1</v>
      </c>
      <c r="J326">
        <v>1</v>
      </c>
      <c r="K326" t="s">
        <v>56</v>
      </c>
      <c r="L326" t="s">
        <v>67</v>
      </c>
      <c r="N326" t="s">
        <v>74</v>
      </c>
      <c r="O326">
        <v>7</v>
      </c>
      <c r="P326" t="s">
        <v>81</v>
      </c>
      <c r="Q326" t="s">
        <v>85</v>
      </c>
      <c r="R326" t="s">
        <v>93</v>
      </c>
      <c r="S326" t="s">
        <v>107</v>
      </c>
      <c r="T326" t="s">
        <v>114</v>
      </c>
    </row>
    <row r="327" spans="1:20">
      <c r="A327" t="s">
        <v>24</v>
      </c>
      <c r="B327" t="s">
        <v>31</v>
      </c>
      <c r="C327" t="s">
        <v>39</v>
      </c>
      <c r="E327" s="2">
        <v>46034.04296296297</v>
      </c>
      <c r="F327" s="2">
        <v>46034.04373842593</v>
      </c>
      <c r="G327" t="s">
        <v>50</v>
      </c>
      <c r="H327" t="s">
        <v>51</v>
      </c>
      <c r="I327">
        <v>1</v>
      </c>
      <c r="J327">
        <v>1</v>
      </c>
      <c r="K327" t="s">
        <v>56</v>
      </c>
      <c r="L327" t="s">
        <v>67</v>
      </c>
      <c r="N327" t="s">
        <v>74</v>
      </c>
      <c r="O327">
        <v>67</v>
      </c>
      <c r="P327" t="s">
        <v>81</v>
      </c>
      <c r="Q327" t="s">
        <v>85</v>
      </c>
      <c r="R327" t="s">
        <v>93</v>
      </c>
      <c r="S327" t="s">
        <v>107</v>
      </c>
      <c r="T327" t="s">
        <v>114</v>
      </c>
    </row>
    <row r="328" spans="1:20">
      <c r="A328" t="s">
        <v>24</v>
      </c>
      <c r="B328" t="s">
        <v>31</v>
      </c>
      <c r="C328" t="s">
        <v>37</v>
      </c>
      <c r="E328" s="2">
        <v>46034.04373842593</v>
      </c>
      <c r="F328" s="2">
        <v>46034.04642361111</v>
      </c>
      <c r="G328" t="s">
        <v>50</v>
      </c>
      <c r="H328" t="s">
        <v>51</v>
      </c>
      <c r="I328">
        <v>1</v>
      </c>
      <c r="J328">
        <v>1</v>
      </c>
      <c r="K328" t="s">
        <v>56</v>
      </c>
      <c r="L328" t="s">
        <v>67</v>
      </c>
      <c r="N328" t="s">
        <v>74</v>
      </c>
      <c r="O328">
        <v>232</v>
      </c>
      <c r="P328" t="s">
        <v>80</v>
      </c>
      <c r="Q328" t="s">
        <v>84</v>
      </c>
      <c r="R328" t="s">
        <v>92</v>
      </c>
      <c r="S328" t="s">
        <v>106</v>
      </c>
      <c r="T328" t="s">
        <v>115</v>
      </c>
    </row>
    <row r="329" spans="1:20">
      <c r="A329" t="s">
        <v>24</v>
      </c>
      <c r="B329" t="s">
        <v>31</v>
      </c>
      <c r="C329" t="s">
        <v>38</v>
      </c>
      <c r="E329" s="2">
        <v>46034.04642361111</v>
      </c>
      <c r="F329" s="2">
        <v>46034.04652777778</v>
      </c>
      <c r="G329" t="s">
        <v>50</v>
      </c>
      <c r="H329" t="s">
        <v>51</v>
      </c>
      <c r="I329">
        <v>1</v>
      </c>
      <c r="J329">
        <v>1</v>
      </c>
      <c r="K329" t="s">
        <v>56</v>
      </c>
      <c r="L329" t="s">
        <v>67</v>
      </c>
      <c r="N329" t="s">
        <v>74</v>
      </c>
      <c r="O329">
        <v>9</v>
      </c>
      <c r="P329" t="s">
        <v>79</v>
      </c>
      <c r="Q329" t="s">
        <v>85</v>
      </c>
      <c r="R329" t="s">
        <v>91</v>
      </c>
      <c r="S329" t="s">
        <v>105</v>
      </c>
      <c r="T329" t="s">
        <v>114</v>
      </c>
    </row>
    <row r="330" spans="1:20">
      <c r="A330" t="s">
        <v>24</v>
      </c>
      <c r="B330" t="s">
        <v>31</v>
      </c>
      <c r="C330" t="s">
        <v>36</v>
      </c>
      <c r="E330" s="2">
        <v>46034.04652777778</v>
      </c>
      <c r="F330" s="2">
        <v>46034.07258101852</v>
      </c>
      <c r="G330" t="s">
        <v>50</v>
      </c>
      <c r="H330" t="s">
        <v>51</v>
      </c>
      <c r="I330">
        <v>1</v>
      </c>
      <c r="J330">
        <v>1</v>
      </c>
      <c r="K330" t="s">
        <v>56</v>
      </c>
      <c r="L330" t="s">
        <v>67</v>
      </c>
      <c r="N330" t="s">
        <v>74</v>
      </c>
      <c r="O330">
        <v>2251</v>
      </c>
      <c r="P330" t="s">
        <v>79</v>
      </c>
      <c r="Q330" t="s">
        <v>85</v>
      </c>
      <c r="R330" t="s">
        <v>91</v>
      </c>
      <c r="S330" t="s">
        <v>105</v>
      </c>
      <c r="T330" t="s">
        <v>114</v>
      </c>
    </row>
    <row r="331" spans="1:20">
      <c r="A331" t="s">
        <v>23</v>
      </c>
      <c r="B331" t="s">
        <v>30</v>
      </c>
      <c r="C331" t="s">
        <v>38</v>
      </c>
      <c r="E331" s="2">
        <v>46034.04672453704</v>
      </c>
      <c r="F331" s="2">
        <v>46034.0471875</v>
      </c>
      <c r="G331" t="s">
        <v>50</v>
      </c>
      <c r="H331" t="s">
        <v>51</v>
      </c>
      <c r="I331">
        <v>1</v>
      </c>
      <c r="J331">
        <v>1</v>
      </c>
      <c r="K331" t="s">
        <v>55</v>
      </c>
      <c r="L331" t="s">
        <v>65</v>
      </c>
      <c r="M331" t="s">
        <v>69</v>
      </c>
      <c r="N331" t="s">
        <v>74</v>
      </c>
      <c r="O331">
        <v>40</v>
      </c>
      <c r="P331" t="s">
        <v>79</v>
      </c>
      <c r="Q331" t="s">
        <v>85</v>
      </c>
      <c r="R331" t="s">
        <v>91</v>
      </c>
      <c r="S331" t="s">
        <v>105</v>
      </c>
      <c r="T331" t="s">
        <v>114</v>
      </c>
    </row>
    <row r="332" spans="1:20">
      <c r="A332" t="s">
        <v>23</v>
      </c>
      <c r="B332" t="s">
        <v>30</v>
      </c>
      <c r="C332" t="s">
        <v>37</v>
      </c>
      <c r="E332" s="2">
        <v>46034.0471875</v>
      </c>
      <c r="F332" s="2">
        <v>46034.04721064815</v>
      </c>
      <c r="G332" t="s">
        <v>50</v>
      </c>
      <c r="H332" t="s">
        <v>51</v>
      </c>
      <c r="I332">
        <v>1</v>
      </c>
      <c r="J332">
        <v>1</v>
      </c>
      <c r="K332" t="s">
        <v>55</v>
      </c>
      <c r="L332" t="s">
        <v>65</v>
      </c>
      <c r="M332" t="s">
        <v>69</v>
      </c>
      <c r="N332" t="s">
        <v>74</v>
      </c>
      <c r="O332">
        <v>2</v>
      </c>
      <c r="P332" t="s">
        <v>81</v>
      </c>
      <c r="Q332" t="s">
        <v>85</v>
      </c>
      <c r="R332" t="s">
        <v>93</v>
      </c>
      <c r="S332" t="s">
        <v>107</v>
      </c>
      <c r="T332" t="s">
        <v>114</v>
      </c>
    </row>
    <row r="333" spans="1:20">
      <c r="A333" t="s">
        <v>23</v>
      </c>
      <c r="B333" t="s">
        <v>30</v>
      </c>
      <c r="C333" t="s">
        <v>37</v>
      </c>
      <c r="E333" s="2">
        <v>46034.04721064815</v>
      </c>
      <c r="F333" s="2">
        <v>46034.04743055555</v>
      </c>
      <c r="G333" t="s">
        <v>50</v>
      </c>
      <c r="H333" t="s">
        <v>51</v>
      </c>
      <c r="I333">
        <v>1</v>
      </c>
      <c r="J333">
        <v>1</v>
      </c>
      <c r="K333" t="s">
        <v>55</v>
      </c>
      <c r="L333" t="s">
        <v>65</v>
      </c>
      <c r="M333" t="s">
        <v>69</v>
      </c>
      <c r="N333" t="s">
        <v>75</v>
      </c>
      <c r="O333">
        <v>19</v>
      </c>
      <c r="P333" t="s">
        <v>81</v>
      </c>
      <c r="Q333" t="s">
        <v>85</v>
      </c>
      <c r="R333" t="s">
        <v>93</v>
      </c>
      <c r="S333" t="s">
        <v>107</v>
      </c>
      <c r="T333" t="s">
        <v>114</v>
      </c>
    </row>
    <row r="334" spans="1:20">
      <c r="A334" t="s">
        <v>23</v>
      </c>
      <c r="B334" t="s">
        <v>30</v>
      </c>
      <c r="C334" t="s">
        <v>37</v>
      </c>
      <c r="E334" s="2">
        <v>46034.04743055555</v>
      </c>
      <c r="F334" s="2">
        <v>46034.04744212963</v>
      </c>
      <c r="G334" t="s">
        <v>50</v>
      </c>
      <c r="H334" t="s">
        <v>51</v>
      </c>
      <c r="I334">
        <v>1</v>
      </c>
      <c r="J334">
        <v>1</v>
      </c>
      <c r="K334" t="s">
        <v>55</v>
      </c>
      <c r="L334" t="s">
        <v>65</v>
      </c>
      <c r="M334" t="s">
        <v>69</v>
      </c>
      <c r="N334" t="s">
        <v>74</v>
      </c>
      <c r="O334">
        <v>1</v>
      </c>
      <c r="P334" t="s">
        <v>81</v>
      </c>
      <c r="Q334" t="s">
        <v>85</v>
      </c>
      <c r="R334" t="s">
        <v>93</v>
      </c>
      <c r="S334" t="s">
        <v>107</v>
      </c>
      <c r="T334" t="s">
        <v>114</v>
      </c>
    </row>
    <row r="335" spans="1:20">
      <c r="A335" t="s">
        <v>23</v>
      </c>
      <c r="B335" t="s">
        <v>30</v>
      </c>
      <c r="C335" t="s">
        <v>39</v>
      </c>
      <c r="E335" s="2">
        <v>46034.04744212963</v>
      </c>
      <c r="F335" s="2">
        <v>46034.048125</v>
      </c>
      <c r="G335" t="s">
        <v>50</v>
      </c>
      <c r="H335" t="s">
        <v>51</v>
      </c>
      <c r="I335">
        <v>1</v>
      </c>
      <c r="J335">
        <v>1</v>
      </c>
      <c r="K335" t="s">
        <v>55</v>
      </c>
      <c r="L335" t="s">
        <v>65</v>
      </c>
      <c r="M335" t="s">
        <v>69</v>
      </c>
      <c r="N335" t="s">
        <v>74</v>
      </c>
      <c r="O335">
        <v>59</v>
      </c>
      <c r="P335" t="s">
        <v>81</v>
      </c>
      <c r="Q335" t="s">
        <v>85</v>
      </c>
      <c r="R335" t="s">
        <v>93</v>
      </c>
      <c r="S335" t="s">
        <v>107</v>
      </c>
      <c r="T335" t="s">
        <v>114</v>
      </c>
    </row>
    <row r="336" spans="1:20">
      <c r="A336" t="s">
        <v>23</v>
      </c>
      <c r="B336" t="s">
        <v>30</v>
      </c>
      <c r="C336" t="s">
        <v>37</v>
      </c>
      <c r="E336" s="2">
        <v>46034.048125</v>
      </c>
      <c r="F336" s="2">
        <v>46034.04880787037</v>
      </c>
      <c r="G336" t="s">
        <v>50</v>
      </c>
      <c r="H336" t="s">
        <v>51</v>
      </c>
      <c r="I336">
        <v>1</v>
      </c>
      <c r="J336">
        <v>1</v>
      </c>
      <c r="K336" t="s">
        <v>55</v>
      </c>
      <c r="L336" t="s">
        <v>65</v>
      </c>
      <c r="M336" t="s">
        <v>69</v>
      </c>
      <c r="N336" t="s">
        <v>74</v>
      </c>
      <c r="O336">
        <v>59</v>
      </c>
      <c r="P336" t="s">
        <v>81</v>
      </c>
      <c r="Q336" t="s">
        <v>85</v>
      </c>
      <c r="R336" t="s">
        <v>93</v>
      </c>
      <c r="S336" t="s">
        <v>107</v>
      </c>
      <c r="T336" t="s">
        <v>114</v>
      </c>
    </row>
    <row r="337" spans="1:20">
      <c r="A337" t="s">
        <v>23</v>
      </c>
      <c r="B337" t="s">
        <v>30</v>
      </c>
      <c r="C337" t="s">
        <v>38</v>
      </c>
      <c r="E337" s="2">
        <v>46034.04880787037</v>
      </c>
      <c r="F337" s="2">
        <v>46034.04900462963</v>
      </c>
      <c r="G337" t="s">
        <v>50</v>
      </c>
      <c r="H337" t="s">
        <v>51</v>
      </c>
      <c r="I337">
        <v>1</v>
      </c>
      <c r="J337">
        <v>1</v>
      </c>
      <c r="K337" t="s">
        <v>55</v>
      </c>
      <c r="L337" t="s">
        <v>65</v>
      </c>
      <c r="M337" t="s">
        <v>69</v>
      </c>
      <c r="N337" t="s">
        <v>74</v>
      </c>
      <c r="O337">
        <v>17</v>
      </c>
      <c r="P337" t="s">
        <v>79</v>
      </c>
      <c r="Q337" t="s">
        <v>85</v>
      </c>
      <c r="R337" t="s">
        <v>91</v>
      </c>
      <c r="S337" t="s">
        <v>105</v>
      </c>
      <c r="T337" t="s">
        <v>114</v>
      </c>
    </row>
    <row r="338" spans="1:20">
      <c r="A338" t="s">
        <v>23</v>
      </c>
      <c r="B338" t="s">
        <v>30</v>
      </c>
      <c r="C338" t="s">
        <v>36</v>
      </c>
      <c r="E338" s="2">
        <v>46034.04900462963</v>
      </c>
      <c r="F338" s="2">
        <v>46034.07471064815</v>
      </c>
      <c r="G338" t="s">
        <v>50</v>
      </c>
      <c r="H338" t="s">
        <v>51</v>
      </c>
      <c r="I338">
        <v>1</v>
      </c>
      <c r="J338">
        <v>1</v>
      </c>
      <c r="K338" t="s">
        <v>55</v>
      </c>
      <c r="L338" t="s">
        <v>65</v>
      </c>
      <c r="M338" t="s">
        <v>69</v>
      </c>
      <c r="N338" t="s">
        <v>74</v>
      </c>
      <c r="O338">
        <v>2221</v>
      </c>
      <c r="P338" t="s">
        <v>79</v>
      </c>
      <c r="Q338" t="s">
        <v>85</v>
      </c>
      <c r="R338" t="s">
        <v>91</v>
      </c>
      <c r="S338" t="s">
        <v>105</v>
      </c>
      <c r="T338" t="s">
        <v>114</v>
      </c>
    </row>
    <row r="339" spans="1:20">
      <c r="A339" t="s">
        <v>20</v>
      </c>
      <c r="B339" t="s">
        <v>27</v>
      </c>
      <c r="C339" t="s">
        <v>38</v>
      </c>
      <c r="E339" s="2">
        <v>46034.05292824074</v>
      </c>
      <c r="F339" s="2">
        <v>46034.05361111111</v>
      </c>
      <c r="G339" t="s">
        <v>50</v>
      </c>
      <c r="H339" t="s">
        <v>51</v>
      </c>
      <c r="I339">
        <v>1</v>
      </c>
      <c r="J339">
        <v>1</v>
      </c>
      <c r="K339" t="s">
        <v>52</v>
      </c>
      <c r="L339" t="s">
        <v>66</v>
      </c>
      <c r="O339">
        <v>59</v>
      </c>
      <c r="P339" t="s">
        <v>79</v>
      </c>
      <c r="Q339" t="s">
        <v>85</v>
      </c>
      <c r="R339" t="s">
        <v>91</v>
      </c>
      <c r="S339" t="s">
        <v>105</v>
      </c>
      <c r="T339" t="s">
        <v>114</v>
      </c>
    </row>
    <row r="340" spans="1:20">
      <c r="A340" t="s">
        <v>20</v>
      </c>
      <c r="B340" t="s">
        <v>27</v>
      </c>
      <c r="C340" t="s">
        <v>39</v>
      </c>
      <c r="E340" s="2">
        <v>46034.05361111111</v>
      </c>
      <c r="F340" s="2">
        <v>46034.05447916667</v>
      </c>
      <c r="G340" t="s">
        <v>50</v>
      </c>
      <c r="H340" t="s">
        <v>51</v>
      </c>
      <c r="I340">
        <v>1</v>
      </c>
      <c r="J340">
        <v>1</v>
      </c>
      <c r="K340" t="s">
        <v>52</v>
      </c>
      <c r="L340" t="s">
        <v>66</v>
      </c>
      <c r="O340">
        <v>75</v>
      </c>
      <c r="P340" t="s">
        <v>81</v>
      </c>
      <c r="Q340" t="s">
        <v>85</v>
      </c>
      <c r="R340" t="s">
        <v>93</v>
      </c>
      <c r="S340" t="s">
        <v>107</v>
      </c>
      <c r="T340" t="s">
        <v>114</v>
      </c>
    </row>
    <row r="341" spans="1:20">
      <c r="A341" t="s">
        <v>20</v>
      </c>
      <c r="B341" t="s">
        <v>27</v>
      </c>
      <c r="C341" t="s">
        <v>38</v>
      </c>
      <c r="E341" s="2">
        <v>46034.05447916667</v>
      </c>
      <c r="F341" s="2">
        <v>46034.05532407408</v>
      </c>
      <c r="G341" t="s">
        <v>50</v>
      </c>
      <c r="H341" t="s">
        <v>51</v>
      </c>
      <c r="I341">
        <v>1</v>
      </c>
      <c r="J341">
        <v>1</v>
      </c>
      <c r="K341" t="s">
        <v>52</v>
      </c>
      <c r="L341" t="s">
        <v>66</v>
      </c>
      <c r="O341">
        <v>73</v>
      </c>
      <c r="P341" t="s">
        <v>79</v>
      </c>
      <c r="Q341" t="s">
        <v>85</v>
      </c>
      <c r="R341" t="s">
        <v>91</v>
      </c>
      <c r="S341" t="s">
        <v>105</v>
      </c>
      <c r="T341" t="s">
        <v>114</v>
      </c>
    </row>
    <row r="342" spans="1:20">
      <c r="A342" t="s">
        <v>20</v>
      </c>
      <c r="B342" t="s">
        <v>27</v>
      </c>
      <c r="C342" t="s">
        <v>36</v>
      </c>
      <c r="E342" s="2">
        <v>46034.05532407408</v>
      </c>
      <c r="F342" s="2">
        <v>46034.06638888889</v>
      </c>
      <c r="G342" t="s">
        <v>50</v>
      </c>
      <c r="H342" t="s">
        <v>51</v>
      </c>
      <c r="I342">
        <v>1</v>
      </c>
      <c r="J342">
        <v>1</v>
      </c>
      <c r="K342" t="s">
        <v>52</v>
      </c>
      <c r="L342" t="s">
        <v>66</v>
      </c>
      <c r="O342">
        <v>956</v>
      </c>
      <c r="P342" t="s">
        <v>79</v>
      </c>
      <c r="Q342" t="s">
        <v>85</v>
      </c>
      <c r="R342" t="s">
        <v>91</v>
      </c>
      <c r="S342" t="s">
        <v>105</v>
      </c>
      <c r="T342" t="s">
        <v>114</v>
      </c>
    </row>
    <row r="343" spans="1:20">
      <c r="A343" t="s">
        <v>22</v>
      </c>
      <c r="B343" t="s">
        <v>29</v>
      </c>
      <c r="C343" t="s">
        <v>38</v>
      </c>
      <c r="E343" s="2">
        <v>46034.05652777778</v>
      </c>
      <c r="F343" s="2">
        <v>46034.05751157407</v>
      </c>
      <c r="G343" t="s">
        <v>50</v>
      </c>
      <c r="H343" t="s">
        <v>51</v>
      </c>
      <c r="I343">
        <v>1</v>
      </c>
      <c r="J343">
        <v>1</v>
      </c>
      <c r="K343" t="s">
        <v>54</v>
      </c>
      <c r="L343" t="s">
        <v>64</v>
      </c>
      <c r="M343" t="s">
        <v>69</v>
      </c>
      <c r="N343" t="s">
        <v>74</v>
      </c>
      <c r="O343">
        <v>85</v>
      </c>
      <c r="P343" t="s">
        <v>79</v>
      </c>
      <c r="Q343" t="s">
        <v>85</v>
      </c>
      <c r="R343" t="s">
        <v>91</v>
      </c>
      <c r="S343" t="s">
        <v>105</v>
      </c>
      <c r="T343" t="s">
        <v>114</v>
      </c>
    </row>
    <row r="344" spans="1:20">
      <c r="A344" t="s">
        <v>22</v>
      </c>
      <c r="B344" t="s">
        <v>29</v>
      </c>
      <c r="C344" t="s">
        <v>37</v>
      </c>
      <c r="E344" s="2">
        <v>46034.05751157407</v>
      </c>
      <c r="F344" s="2">
        <v>46034.0577662037</v>
      </c>
      <c r="G344" t="s">
        <v>50</v>
      </c>
      <c r="H344" t="s">
        <v>51</v>
      </c>
      <c r="I344">
        <v>1</v>
      </c>
      <c r="J344">
        <v>1</v>
      </c>
      <c r="K344" t="s">
        <v>54</v>
      </c>
      <c r="L344" t="s">
        <v>64</v>
      </c>
      <c r="M344" t="s">
        <v>69</v>
      </c>
      <c r="N344" t="s">
        <v>74</v>
      </c>
      <c r="O344">
        <v>22</v>
      </c>
      <c r="P344" t="s">
        <v>81</v>
      </c>
      <c r="Q344" t="s">
        <v>85</v>
      </c>
      <c r="R344" t="s">
        <v>93</v>
      </c>
      <c r="S344" t="s">
        <v>107</v>
      </c>
      <c r="T344" t="s">
        <v>114</v>
      </c>
    </row>
    <row r="345" spans="1:20">
      <c r="A345" t="s">
        <v>26</v>
      </c>
      <c r="B345" t="s">
        <v>33</v>
      </c>
      <c r="C345" t="s">
        <v>37</v>
      </c>
      <c r="E345" s="2">
        <v>46034.05761574074</v>
      </c>
      <c r="F345" s="2">
        <v>46034.05769675926</v>
      </c>
      <c r="G345" t="s">
        <v>50</v>
      </c>
      <c r="H345" t="s">
        <v>51</v>
      </c>
      <c r="I345">
        <v>1</v>
      </c>
      <c r="J345">
        <v>1</v>
      </c>
      <c r="L345" t="s">
        <v>68</v>
      </c>
      <c r="M345" t="s">
        <v>70</v>
      </c>
      <c r="N345" t="s">
        <v>74</v>
      </c>
      <c r="O345">
        <v>7</v>
      </c>
      <c r="P345" t="s">
        <v>81</v>
      </c>
      <c r="Q345" t="s">
        <v>85</v>
      </c>
      <c r="R345" t="s">
        <v>93</v>
      </c>
      <c r="S345" t="s">
        <v>107</v>
      </c>
      <c r="T345" t="s">
        <v>114</v>
      </c>
    </row>
    <row r="346" spans="1:20">
      <c r="A346" t="s">
        <v>26</v>
      </c>
      <c r="B346" t="s">
        <v>33</v>
      </c>
      <c r="C346" t="s">
        <v>37</v>
      </c>
      <c r="E346" s="2">
        <v>46034.05769675926</v>
      </c>
      <c r="F346" s="2">
        <v>46034.05782407407</v>
      </c>
      <c r="G346" t="s">
        <v>50</v>
      </c>
      <c r="H346" t="s">
        <v>51</v>
      </c>
      <c r="I346">
        <v>1</v>
      </c>
      <c r="J346">
        <v>1</v>
      </c>
      <c r="L346" t="s">
        <v>68</v>
      </c>
      <c r="M346" t="s">
        <v>71</v>
      </c>
      <c r="N346" t="s">
        <v>74</v>
      </c>
      <c r="O346">
        <v>11</v>
      </c>
      <c r="P346" t="s">
        <v>81</v>
      </c>
      <c r="Q346" t="s">
        <v>85</v>
      </c>
      <c r="R346" t="s">
        <v>93</v>
      </c>
      <c r="S346" t="s">
        <v>107</v>
      </c>
      <c r="T346" t="s">
        <v>114</v>
      </c>
    </row>
    <row r="347" spans="1:20">
      <c r="A347" t="s">
        <v>22</v>
      </c>
      <c r="B347" t="s">
        <v>29</v>
      </c>
      <c r="C347" t="s">
        <v>39</v>
      </c>
      <c r="E347" s="2">
        <v>46034.0577662037</v>
      </c>
      <c r="F347" s="2">
        <v>46034.05814814815</v>
      </c>
      <c r="G347" t="s">
        <v>50</v>
      </c>
      <c r="H347" t="s">
        <v>51</v>
      </c>
      <c r="I347">
        <v>1</v>
      </c>
      <c r="J347">
        <v>1</v>
      </c>
      <c r="K347" t="s">
        <v>54</v>
      </c>
      <c r="L347" t="s">
        <v>64</v>
      </c>
      <c r="M347" t="s">
        <v>69</v>
      </c>
      <c r="N347" t="s">
        <v>74</v>
      </c>
      <c r="O347">
        <v>33</v>
      </c>
      <c r="P347" t="s">
        <v>81</v>
      </c>
      <c r="Q347" t="s">
        <v>85</v>
      </c>
      <c r="R347" t="s">
        <v>93</v>
      </c>
      <c r="S347" t="s">
        <v>107</v>
      </c>
      <c r="T347" t="s">
        <v>114</v>
      </c>
    </row>
    <row r="348" spans="1:20">
      <c r="A348" t="s">
        <v>26</v>
      </c>
      <c r="B348" t="s">
        <v>33</v>
      </c>
      <c r="C348" t="s">
        <v>38</v>
      </c>
      <c r="E348" s="2">
        <v>46034.05782407407</v>
      </c>
      <c r="F348" s="2">
        <v>46034.06443287037</v>
      </c>
      <c r="G348" t="s">
        <v>50</v>
      </c>
      <c r="H348" t="s">
        <v>51</v>
      </c>
      <c r="I348">
        <v>1</v>
      </c>
      <c r="J348">
        <v>1</v>
      </c>
      <c r="L348" t="s">
        <v>68</v>
      </c>
      <c r="M348" t="s">
        <v>71</v>
      </c>
      <c r="N348" t="s">
        <v>74</v>
      </c>
      <c r="O348">
        <v>571</v>
      </c>
      <c r="P348" t="s">
        <v>79</v>
      </c>
      <c r="Q348" t="s">
        <v>85</v>
      </c>
      <c r="R348" t="s">
        <v>91</v>
      </c>
      <c r="S348" t="s">
        <v>105</v>
      </c>
      <c r="T348" t="s">
        <v>114</v>
      </c>
    </row>
    <row r="349" spans="1:20">
      <c r="A349" t="s">
        <v>22</v>
      </c>
      <c r="B349" t="s">
        <v>29</v>
      </c>
      <c r="C349" t="s">
        <v>37</v>
      </c>
      <c r="E349" s="2">
        <v>46034.05814814815</v>
      </c>
      <c r="F349" s="2">
        <v>46034.05909722222</v>
      </c>
      <c r="G349" t="s">
        <v>50</v>
      </c>
      <c r="H349" t="s">
        <v>51</v>
      </c>
      <c r="I349">
        <v>1</v>
      </c>
      <c r="J349">
        <v>1</v>
      </c>
      <c r="K349" t="s">
        <v>54</v>
      </c>
      <c r="L349" t="s">
        <v>64</v>
      </c>
      <c r="M349" t="s">
        <v>69</v>
      </c>
      <c r="N349" t="s">
        <v>74</v>
      </c>
      <c r="O349">
        <v>82</v>
      </c>
      <c r="P349" t="s">
        <v>81</v>
      </c>
      <c r="Q349" t="s">
        <v>85</v>
      </c>
      <c r="R349" t="s">
        <v>93</v>
      </c>
      <c r="S349" t="s">
        <v>107</v>
      </c>
      <c r="T349" t="s">
        <v>114</v>
      </c>
    </row>
    <row r="350" spans="1:20">
      <c r="A350" t="s">
        <v>22</v>
      </c>
      <c r="B350" t="s">
        <v>29</v>
      </c>
      <c r="C350" t="s">
        <v>38</v>
      </c>
      <c r="E350" s="2">
        <v>46034.05909722222</v>
      </c>
      <c r="F350" s="2">
        <v>46034.06111111111</v>
      </c>
      <c r="G350" t="s">
        <v>50</v>
      </c>
      <c r="H350" t="s">
        <v>51</v>
      </c>
      <c r="I350">
        <v>1</v>
      </c>
      <c r="J350">
        <v>1</v>
      </c>
      <c r="K350" t="s">
        <v>54</v>
      </c>
      <c r="L350" t="s">
        <v>64</v>
      </c>
      <c r="M350" t="s">
        <v>69</v>
      </c>
      <c r="N350" t="s">
        <v>74</v>
      </c>
      <c r="O350">
        <v>174</v>
      </c>
      <c r="P350" t="s">
        <v>79</v>
      </c>
      <c r="Q350" t="s">
        <v>85</v>
      </c>
      <c r="R350" t="s">
        <v>91</v>
      </c>
      <c r="S350" t="s">
        <v>105</v>
      </c>
      <c r="T350" t="s">
        <v>114</v>
      </c>
    </row>
    <row r="351" spans="1:20">
      <c r="A351" t="s">
        <v>22</v>
      </c>
      <c r="B351" t="s">
        <v>29</v>
      </c>
      <c r="C351" t="s">
        <v>35</v>
      </c>
      <c r="D351" t="s">
        <v>44</v>
      </c>
      <c r="E351" s="2">
        <v>46034.06111111111</v>
      </c>
      <c r="F351" s="2">
        <v>46034.06251157408</v>
      </c>
      <c r="G351" t="s">
        <v>50</v>
      </c>
      <c r="H351" t="s">
        <v>51</v>
      </c>
      <c r="I351">
        <v>1</v>
      </c>
      <c r="J351">
        <v>1</v>
      </c>
      <c r="K351" t="s">
        <v>54</v>
      </c>
      <c r="L351" t="s">
        <v>64</v>
      </c>
      <c r="M351" t="s">
        <v>69</v>
      </c>
      <c r="N351" t="s">
        <v>74</v>
      </c>
      <c r="O351">
        <v>121</v>
      </c>
      <c r="P351" t="s">
        <v>44</v>
      </c>
      <c r="Q351" t="s">
        <v>84</v>
      </c>
      <c r="R351" t="s">
        <v>94</v>
      </c>
      <c r="S351" t="s">
        <v>108</v>
      </c>
      <c r="T351" t="s">
        <v>115</v>
      </c>
    </row>
    <row r="352" spans="1:20">
      <c r="A352" t="s">
        <v>25</v>
      </c>
      <c r="B352" t="s">
        <v>32</v>
      </c>
      <c r="C352" t="s">
        <v>37</v>
      </c>
      <c r="E352" s="2">
        <v>46034.06217592592</v>
      </c>
      <c r="F352" s="2">
        <v>46034.06225694445</v>
      </c>
      <c r="G352" t="s">
        <v>50</v>
      </c>
      <c r="H352" t="s">
        <v>51</v>
      </c>
      <c r="I352">
        <v>1</v>
      </c>
      <c r="J352">
        <v>1</v>
      </c>
      <c r="K352" t="s">
        <v>53</v>
      </c>
      <c r="L352" t="s">
        <v>62</v>
      </c>
      <c r="M352" t="s">
        <v>69</v>
      </c>
      <c r="N352" t="s">
        <v>74</v>
      </c>
      <c r="O352">
        <v>7</v>
      </c>
      <c r="P352" t="s">
        <v>81</v>
      </c>
      <c r="Q352" t="s">
        <v>85</v>
      </c>
      <c r="R352" t="s">
        <v>93</v>
      </c>
      <c r="S352" t="s">
        <v>107</v>
      </c>
      <c r="T352" t="s">
        <v>114</v>
      </c>
    </row>
    <row r="353" spans="1:20">
      <c r="A353" t="s">
        <v>25</v>
      </c>
      <c r="B353" t="s">
        <v>32</v>
      </c>
      <c r="C353" t="s">
        <v>37</v>
      </c>
      <c r="E353" s="2">
        <v>46034.06225694445</v>
      </c>
      <c r="F353" s="2">
        <v>46034.06271990741</v>
      </c>
      <c r="G353" t="s">
        <v>50</v>
      </c>
      <c r="H353" t="s">
        <v>51</v>
      </c>
      <c r="I353">
        <v>1</v>
      </c>
      <c r="J353">
        <v>1</v>
      </c>
      <c r="K353" t="s">
        <v>53</v>
      </c>
      <c r="L353" t="s">
        <v>62</v>
      </c>
      <c r="M353" t="s">
        <v>69</v>
      </c>
      <c r="N353" t="s">
        <v>75</v>
      </c>
      <c r="O353">
        <v>40</v>
      </c>
      <c r="P353" t="s">
        <v>81</v>
      </c>
      <c r="Q353" t="s">
        <v>85</v>
      </c>
      <c r="R353" t="s">
        <v>93</v>
      </c>
      <c r="S353" t="s">
        <v>107</v>
      </c>
      <c r="T353" t="s">
        <v>114</v>
      </c>
    </row>
    <row r="354" spans="1:20">
      <c r="A354" t="s">
        <v>22</v>
      </c>
      <c r="B354" t="s">
        <v>29</v>
      </c>
      <c r="C354" t="s">
        <v>35</v>
      </c>
      <c r="D354" t="s">
        <v>44</v>
      </c>
      <c r="E354" s="2">
        <v>46034.06251157408</v>
      </c>
      <c r="F354" s="2">
        <v>46034.06336805555</v>
      </c>
      <c r="G354" t="s">
        <v>50</v>
      </c>
      <c r="H354" t="s">
        <v>51</v>
      </c>
      <c r="I354">
        <v>1</v>
      </c>
      <c r="J354">
        <v>1</v>
      </c>
      <c r="K354" t="s">
        <v>54</v>
      </c>
      <c r="L354" t="s">
        <v>64</v>
      </c>
      <c r="M354" t="s">
        <v>69</v>
      </c>
      <c r="N354" t="s">
        <v>74</v>
      </c>
      <c r="O354">
        <v>74</v>
      </c>
      <c r="P354" t="s">
        <v>44</v>
      </c>
      <c r="Q354" t="s">
        <v>84</v>
      </c>
      <c r="R354" t="s">
        <v>94</v>
      </c>
      <c r="S354" t="s">
        <v>108</v>
      </c>
      <c r="T354" t="s">
        <v>115</v>
      </c>
    </row>
    <row r="355" spans="1:20">
      <c r="A355" t="s">
        <v>25</v>
      </c>
      <c r="B355" t="s">
        <v>32</v>
      </c>
      <c r="C355" t="s">
        <v>37</v>
      </c>
      <c r="E355" s="2">
        <v>46034.06271990741</v>
      </c>
      <c r="F355" s="2">
        <v>46034.0628125</v>
      </c>
      <c r="G355" t="s">
        <v>50</v>
      </c>
      <c r="H355" t="s">
        <v>51</v>
      </c>
      <c r="I355">
        <v>1</v>
      </c>
      <c r="J355">
        <v>1</v>
      </c>
      <c r="K355" t="s">
        <v>53</v>
      </c>
      <c r="L355" t="s">
        <v>62</v>
      </c>
      <c r="M355" t="s">
        <v>69</v>
      </c>
      <c r="N355" t="s">
        <v>74</v>
      </c>
      <c r="O355">
        <v>8</v>
      </c>
      <c r="P355" t="s">
        <v>81</v>
      </c>
      <c r="Q355" t="s">
        <v>85</v>
      </c>
      <c r="R355" t="s">
        <v>93</v>
      </c>
      <c r="S355" t="s">
        <v>107</v>
      </c>
      <c r="T355" t="s">
        <v>114</v>
      </c>
    </row>
    <row r="356" spans="1:20">
      <c r="A356" t="s">
        <v>25</v>
      </c>
      <c r="B356" t="s">
        <v>32</v>
      </c>
      <c r="C356" t="s">
        <v>39</v>
      </c>
      <c r="E356" s="2">
        <v>46034.0628125</v>
      </c>
      <c r="F356" s="2">
        <v>46034.06349537037</v>
      </c>
      <c r="G356" t="s">
        <v>50</v>
      </c>
      <c r="H356" t="s">
        <v>51</v>
      </c>
      <c r="I356">
        <v>1</v>
      </c>
      <c r="J356">
        <v>1</v>
      </c>
      <c r="K356" t="s">
        <v>53</v>
      </c>
      <c r="L356" t="s">
        <v>62</v>
      </c>
      <c r="M356" t="s">
        <v>69</v>
      </c>
      <c r="N356" t="s">
        <v>74</v>
      </c>
      <c r="O356">
        <v>59</v>
      </c>
      <c r="P356" t="s">
        <v>81</v>
      </c>
      <c r="Q356" t="s">
        <v>85</v>
      </c>
      <c r="R356" t="s">
        <v>93</v>
      </c>
      <c r="S356" t="s">
        <v>107</v>
      </c>
      <c r="T356" t="s">
        <v>114</v>
      </c>
    </row>
    <row r="357" spans="1:20">
      <c r="A357" t="s">
        <v>22</v>
      </c>
      <c r="B357" t="s">
        <v>29</v>
      </c>
      <c r="C357" t="s">
        <v>35</v>
      </c>
      <c r="D357" t="s">
        <v>44</v>
      </c>
      <c r="E357" s="2">
        <v>46034.06336805555</v>
      </c>
      <c r="F357" s="2">
        <v>46034.08333333334</v>
      </c>
      <c r="G357" t="s">
        <v>50</v>
      </c>
      <c r="H357" t="s">
        <v>51</v>
      </c>
      <c r="I357">
        <v>1</v>
      </c>
      <c r="J357">
        <v>1</v>
      </c>
      <c r="K357" t="s">
        <v>54</v>
      </c>
      <c r="L357" t="s">
        <v>64</v>
      </c>
      <c r="M357" t="s">
        <v>69</v>
      </c>
      <c r="N357" t="s">
        <v>74</v>
      </c>
      <c r="O357">
        <v>1725</v>
      </c>
      <c r="P357" t="s">
        <v>44</v>
      </c>
      <c r="Q357" t="s">
        <v>84</v>
      </c>
      <c r="R357" t="s">
        <v>94</v>
      </c>
      <c r="S357" t="s">
        <v>108</v>
      </c>
      <c r="T357" t="s">
        <v>115</v>
      </c>
    </row>
    <row r="358" spans="1:20">
      <c r="A358" t="s">
        <v>25</v>
      </c>
      <c r="B358" t="s">
        <v>32</v>
      </c>
      <c r="C358" t="s">
        <v>37</v>
      </c>
      <c r="E358" s="2">
        <v>46034.06349537037</v>
      </c>
      <c r="F358" s="2">
        <v>46034.06354166667</v>
      </c>
      <c r="G358" t="s">
        <v>50</v>
      </c>
      <c r="H358" t="s">
        <v>51</v>
      </c>
      <c r="I358">
        <v>1</v>
      </c>
      <c r="J358">
        <v>1</v>
      </c>
      <c r="K358" t="s">
        <v>53</v>
      </c>
      <c r="L358" t="s">
        <v>62</v>
      </c>
      <c r="M358" t="s">
        <v>69</v>
      </c>
      <c r="N358" t="s">
        <v>74</v>
      </c>
      <c r="O358">
        <v>4</v>
      </c>
      <c r="P358" t="s">
        <v>81</v>
      </c>
      <c r="Q358" t="s">
        <v>85</v>
      </c>
      <c r="R358" t="s">
        <v>93</v>
      </c>
      <c r="S358" t="s">
        <v>107</v>
      </c>
      <c r="T358" t="s">
        <v>114</v>
      </c>
    </row>
    <row r="359" spans="1:20">
      <c r="A359" t="s">
        <v>25</v>
      </c>
      <c r="B359" t="s">
        <v>32</v>
      </c>
      <c r="C359" t="s">
        <v>37</v>
      </c>
      <c r="E359" s="2">
        <v>46034.06354166667</v>
      </c>
      <c r="F359" s="2">
        <v>46034.06431712963</v>
      </c>
      <c r="G359" t="s">
        <v>50</v>
      </c>
      <c r="H359" t="s">
        <v>51</v>
      </c>
      <c r="I359">
        <v>1</v>
      </c>
      <c r="J359">
        <v>1</v>
      </c>
      <c r="K359" t="s">
        <v>53</v>
      </c>
      <c r="L359" t="s">
        <v>62</v>
      </c>
      <c r="M359" t="s">
        <v>69</v>
      </c>
      <c r="N359" t="s">
        <v>76</v>
      </c>
      <c r="O359">
        <v>67</v>
      </c>
      <c r="P359" t="s">
        <v>81</v>
      </c>
      <c r="Q359" t="s">
        <v>85</v>
      </c>
      <c r="R359" t="s">
        <v>93</v>
      </c>
      <c r="S359" t="s">
        <v>107</v>
      </c>
      <c r="T359" t="s">
        <v>114</v>
      </c>
    </row>
    <row r="360" spans="1:20">
      <c r="A360" t="s">
        <v>25</v>
      </c>
      <c r="B360" t="s">
        <v>32</v>
      </c>
      <c r="C360" t="s">
        <v>37</v>
      </c>
      <c r="E360" s="2">
        <v>46034.06431712963</v>
      </c>
      <c r="F360" s="2">
        <v>46034.06447916666</v>
      </c>
      <c r="G360" t="s">
        <v>50</v>
      </c>
      <c r="H360" t="s">
        <v>51</v>
      </c>
      <c r="I360">
        <v>1</v>
      </c>
      <c r="J360">
        <v>1</v>
      </c>
      <c r="K360" t="s">
        <v>53</v>
      </c>
      <c r="L360" t="s">
        <v>62</v>
      </c>
      <c r="M360" t="s">
        <v>69</v>
      </c>
      <c r="N360" t="s">
        <v>74</v>
      </c>
      <c r="O360">
        <v>14</v>
      </c>
      <c r="P360" t="s">
        <v>81</v>
      </c>
      <c r="Q360" t="s">
        <v>85</v>
      </c>
      <c r="R360" t="s">
        <v>93</v>
      </c>
      <c r="S360" t="s">
        <v>107</v>
      </c>
      <c r="T360" t="s">
        <v>114</v>
      </c>
    </row>
    <row r="361" spans="1:20">
      <c r="A361" t="s">
        <v>26</v>
      </c>
      <c r="B361" t="s">
        <v>33</v>
      </c>
      <c r="C361" t="s">
        <v>38</v>
      </c>
      <c r="E361" s="2">
        <v>46034.06443287037</v>
      </c>
      <c r="F361" s="2">
        <v>46034.06490740741</v>
      </c>
      <c r="G361" t="s">
        <v>50</v>
      </c>
      <c r="H361" t="s">
        <v>51</v>
      </c>
      <c r="I361">
        <v>1</v>
      </c>
      <c r="J361">
        <v>1</v>
      </c>
      <c r="L361" t="s">
        <v>68</v>
      </c>
      <c r="M361" t="s">
        <v>70</v>
      </c>
      <c r="N361" t="s">
        <v>74</v>
      </c>
      <c r="O361">
        <v>41</v>
      </c>
      <c r="P361" t="s">
        <v>79</v>
      </c>
      <c r="Q361" t="s">
        <v>85</v>
      </c>
      <c r="R361" t="s">
        <v>91</v>
      </c>
      <c r="S361" t="s">
        <v>105</v>
      </c>
      <c r="T361" t="s">
        <v>114</v>
      </c>
    </row>
    <row r="362" spans="1:20">
      <c r="A362" t="s">
        <v>25</v>
      </c>
      <c r="B362" t="s">
        <v>32</v>
      </c>
      <c r="C362" t="s">
        <v>38</v>
      </c>
      <c r="E362" s="2">
        <v>46034.06447916666</v>
      </c>
      <c r="F362" s="2">
        <v>46034.08333333334</v>
      </c>
      <c r="G362" t="s">
        <v>50</v>
      </c>
      <c r="H362" t="s">
        <v>51</v>
      </c>
      <c r="I362">
        <v>1</v>
      </c>
      <c r="J362">
        <v>1</v>
      </c>
      <c r="K362" t="s">
        <v>53</v>
      </c>
      <c r="L362" t="s">
        <v>62</v>
      </c>
      <c r="M362" t="s">
        <v>69</v>
      </c>
      <c r="N362" t="s">
        <v>74</v>
      </c>
      <c r="O362">
        <v>1629</v>
      </c>
      <c r="P362" t="s">
        <v>79</v>
      </c>
      <c r="Q362" t="s">
        <v>85</v>
      </c>
      <c r="R362" t="s">
        <v>91</v>
      </c>
      <c r="S362" t="s">
        <v>105</v>
      </c>
      <c r="T362" t="s">
        <v>114</v>
      </c>
    </row>
    <row r="363" spans="1:20">
      <c r="A363" t="s">
        <v>21</v>
      </c>
      <c r="B363" t="s">
        <v>28</v>
      </c>
      <c r="C363" t="s">
        <v>35</v>
      </c>
      <c r="D363" t="s">
        <v>40</v>
      </c>
      <c r="E363" s="2">
        <v>46034.06473379629</v>
      </c>
      <c r="F363" s="2">
        <v>46034.06476851852</v>
      </c>
      <c r="G363" t="s">
        <v>50</v>
      </c>
      <c r="H363" t="s">
        <v>51</v>
      </c>
      <c r="I363">
        <v>1</v>
      </c>
      <c r="J363">
        <v>1</v>
      </c>
      <c r="K363" t="s">
        <v>53</v>
      </c>
      <c r="L363" t="s">
        <v>58</v>
      </c>
      <c r="M363" t="s">
        <v>72</v>
      </c>
      <c r="N363" t="s">
        <v>74</v>
      </c>
      <c r="O363">
        <v>3</v>
      </c>
      <c r="P363" t="s">
        <v>40</v>
      </c>
      <c r="Q363" t="s">
        <v>83</v>
      </c>
      <c r="R363" t="s">
        <v>87</v>
      </c>
      <c r="S363" t="s">
        <v>101</v>
      </c>
      <c r="T363" t="s">
        <v>115</v>
      </c>
    </row>
    <row r="364" spans="1:20">
      <c r="A364" t="s">
        <v>21</v>
      </c>
      <c r="B364" t="s">
        <v>28</v>
      </c>
      <c r="C364" t="s">
        <v>35</v>
      </c>
      <c r="D364" t="s">
        <v>40</v>
      </c>
      <c r="E364" s="2">
        <v>46034.06476851852</v>
      </c>
      <c r="F364" s="2">
        <v>46034.06541666666</v>
      </c>
      <c r="G364" t="s">
        <v>50</v>
      </c>
      <c r="H364" t="s">
        <v>51</v>
      </c>
      <c r="I364">
        <v>1</v>
      </c>
      <c r="J364">
        <v>1</v>
      </c>
      <c r="K364" t="s">
        <v>53</v>
      </c>
      <c r="L364" t="s">
        <v>58</v>
      </c>
      <c r="M364" t="s">
        <v>69</v>
      </c>
      <c r="N364" t="s">
        <v>74</v>
      </c>
      <c r="O364">
        <v>56</v>
      </c>
      <c r="P364" t="s">
        <v>40</v>
      </c>
      <c r="Q364" t="s">
        <v>83</v>
      </c>
      <c r="R364" t="s">
        <v>87</v>
      </c>
      <c r="S364" t="s">
        <v>101</v>
      </c>
      <c r="T364" t="s">
        <v>115</v>
      </c>
    </row>
    <row r="365" spans="1:20">
      <c r="A365" t="s">
        <v>26</v>
      </c>
      <c r="B365" t="s">
        <v>33</v>
      </c>
      <c r="C365" t="s">
        <v>38</v>
      </c>
      <c r="E365" s="2">
        <v>46034.06490740741</v>
      </c>
      <c r="F365" s="2">
        <v>46034.06857638889</v>
      </c>
      <c r="G365" t="s">
        <v>50</v>
      </c>
      <c r="H365" t="s">
        <v>51</v>
      </c>
      <c r="I365">
        <v>1</v>
      </c>
      <c r="J365">
        <v>1</v>
      </c>
      <c r="L365" t="s">
        <v>68</v>
      </c>
      <c r="M365" t="s">
        <v>71</v>
      </c>
      <c r="N365" t="s">
        <v>74</v>
      </c>
      <c r="O365">
        <v>317</v>
      </c>
      <c r="P365" t="s">
        <v>79</v>
      </c>
      <c r="Q365" t="s">
        <v>85</v>
      </c>
      <c r="R365" t="s">
        <v>91</v>
      </c>
      <c r="S365" t="s">
        <v>105</v>
      </c>
      <c r="T365" t="s">
        <v>114</v>
      </c>
    </row>
    <row r="366" spans="1:20">
      <c r="A366" t="s">
        <v>21</v>
      </c>
      <c r="B366" t="s">
        <v>28</v>
      </c>
      <c r="C366" t="s">
        <v>35</v>
      </c>
      <c r="D366" t="s">
        <v>40</v>
      </c>
      <c r="E366" s="2">
        <v>46034.06541666666</v>
      </c>
      <c r="F366" s="2">
        <v>46034.06758101852</v>
      </c>
      <c r="G366" t="s">
        <v>50</v>
      </c>
      <c r="H366" t="s">
        <v>51</v>
      </c>
      <c r="I366">
        <v>1</v>
      </c>
      <c r="J366">
        <v>1</v>
      </c>
      <c r="K366" t="s">
        <v>53</v>
      </c>
      <c r="L366" t="s">
        <v>58</v>
      </c>
      <c r="M366" t="s">
        <v>69</v>
      </c>
      <c r="N366" t="s">
        <v>74</v>
      </c>
      <c r="O366">
        <v>187</v>
      </c>
      <c r="P366" t="s">
        <v>40</v>
      </c>
      <c r="Q366" t="s">
        <v>83</v>
      </c>
      <c r="R366" t="s">
        <v>87</v>
      </c>
      <c r="S366" t="s">
        <v>101</v>
      </c>
      <c r="T366" t="s">
        <v>115</v>
      </c>
    </row>
    <row r="367" spans="1:20">
      <c r="A367" t="s">
        <v>20</v>
      </c>
      <c r="B367" t="s">
        <v>27</v>
      </c>
      <c r="C367" t="s">
        <v>38</v>
      </c>
      <c r="E367" s="2">
        <v>46034.06638888889</v>
      </c>
      <c r="F367" s="2">
        <v>46034.0670949074</v>
      </c>
      <c r="G367" t="s">
        <v>50</v>
      </c>
      <c r="H367" t="s">
        <v>51</v>
      </c>
      <c r="I367">
        <v>1</v>
      </c>
      <c r="J367">
        <v>1</v>
      </c>
      <c r="K367" t="s">
        <v>52</v>
      </c>
      <c r="L367" t="s">
        <v>66</v>
      </c>
      <c r="O367">
        <v>61</v>
      </c>
      <c r="P367" t="s">
        <v>79</v>
      </c>
      <c r="Q367" t="s">
        <v>85</v>
      </c>
      <c r="R367" t="s">
        <v>91</v>
      </c>
      <c r="S367" t="s">
        <v>105</v>
      </c>
      <c r="T367" t="s">
        <v>114</v>
      </c>
    </row>
    <row r="368" spans="1:20">
      <c r="A368" t="s">
        <v>20</v>
      </c>
      <c r="B368" t="s">
        <v>27</v>
      </c>
      <c r="C368" t="s">
        <v>39</v>
      </c>
      <c r="E368" s="2">
        <v>46034.0670949074</v>
      </c>
      <c r="F368" s="2">
        <v>46034.06796296296</v>
      </c>
      <c r="G368" t="s">
        <v>50</v>
      </c>
      <c r="H368" t="s">
        <v>51</v>
      </c>
      <c r="I368">
        <v>1</v>
      </c>
      <c r="J368">
        <v>1</v>
      </c>
      <c r="K368" t="s">
        <v>52</v>
      </c>
      <c r="L368" t="s">
        <v>66</v>
      </c>
      <c r="O368">
        <v>75</v>
      </c>
      <c r="P368" t="s">
        <v>81</v>
      </c>
      <c r="Q368" t="s">
        <v>85</v>
      </c>
      <c r="R368" t="s">
        <v>93</v>
      </c>
      <c r="S368" t="s">
        <v>107</v>
      </c>
      <c r="T368" t="s">
        <v>114</v>
      </c>
    </row>
    <row r="369" spans="1:20">
      <c r="A369" t="s">
        <v>21</v>
      </c>
      <c r="B369" t="s">
        <v>28</v>
      </c>
      <c r="C369" t="s">
        <v>37</v>
      </c>
      <c r="E369" s="2">
        <v>46034.06758101852</v>
      </c>
      <c r="F369" s="2">
        <v>46034.06787037037</v>
      </c>
      <c r="G369" t="s">
        <v>50</v>
      </c>
      <c r="H369" t="s">
        <v>51</v>
      </c>
      <c r="I369">
        <v>1</v>
      </c>
      <c r="J369">
        <v>1</v>
      </c>
      <c r="K369" t="s">
        <v>53</v>
      </c>
      <c r="L369" t="s">
        <v>58</v>
      </c>
      <c r="M369" t="s">
        <v>69</v>
      </c>
      <c r="N369" t="s">
        <v>74</v>
      </c>
      <c r="O369">
        <v>25</v>
      </c>
      <c r="P369" t="s">
        <v>81</v>
      </c>
      <c r="Q369" t="s">
        <v>85</v>
      </c>
      <c r="R369" t="s">
        <v>93</v>
      </c>
      <c r="S369" t="s">
        <v>107</v>
      </c>
      <c r="T369" t="s">
        <v>114</v>
      </c>
    </row>
    <row r="370" spans="1:20">
      <c r="A370" t="s">
        <v>21</v>
      </c>
      <c r="B370" t="s">
        <v>28</v>
      </c>
      <c r="C370" t="s">
        <v>35</v>
      </c>
      <c r="D370" t="s">
        <v>45</v>
      </c>
      <c r="E370" s="2">
        <v>46034.06787037037</v>
      </c>
      <c r="F370" s="2">
        <v>46034.06818287037</v>
      </c>
      <c r="G370" t="s">
        <v>50</v>
      </c>
      <c r="H370" t="s">
        <v>51</v>
      </c>
      <c r="I370">
        <v>1</v>
      </c>
      <c r="J370">
        <v>1</v>
      </c>
      <c r="K370" t="s">
        <v>53</v>
      </c>
      <c r="L370" t="s">
        <v>58</v>
      </c>
      <c r="M370" t="s">
        <v>69</v>
      </c>
      <c r="N370" t="s">
        <v>74</v>
      </c>
      <c r="O370">
        <v>27</v>
      </c>
      <c r="P370" t="s">
        <v>45</v>
      </c>
      <c r="Q370" t="s">
        <v>84</v>
      </c>
      <c r="R370" t="s">
        <v>95</v>
      </c>
      <c r="S370" t="s">
        <v>109</v>
      </c>
      <c r="T370" t="s">
        <v>115</v>
      </c>
    </row>
    <row r="371" spans="1:20">
      <c r="A371" t="s">
        <v>20</v>
      </c>
      <c r="B371" t="s">
        <v>27</v>
      </c>
      <c r="C371" t="s">
        <v>38</v>
      </c>
      <c r="E371" s="2">
        <v>46034.06796296296</v>
      </c>
      <c r="F371" s="2">
        <v>46034.06864583334</v>
      </c>
      <c r="G371" t="s">
        <v>50</v>
      </c>
      <c r="H371" t="s">
        <v>51</v>
      </c>
      <c r="I371">
        <v>1</v>
      </c>
      <c r="J371">
        <v>1</v>
      </c>
      <c r="K371" t="s">
        <v>52</v>
      </c>
      <c r="L371" t="s">
        <v>66</v>
      </c>
      <c r="O371">
        <v>59</v>
      </c>
      <c r="P371" t="s">
        <v>79</v>
      </c>
      <c r="Q371" t="s">
        <v>85</v>
      </c>
      <c r="R371" t="s">
        <v>91</v>
      </c>
      <c r="S371" t="s">
        <v>105</v>
      </c>
      <c r="T371" t="s">
        <v>114</v>
      </c>
    </row>
    <row r="372" spans="1:20">
      <c r="A372" t="s">
        <v>21</v>
      </c>
      <c r="B372" t="s">
        <v>28</v>
      </c>
      <c r="C372" t="s">
        <v>35</v>
      </c>
      <c r="D372" t="s">
        <v>45</v>
      </c>
      <c r="E372" s="2">
        <v>46034.06818287037</v>
      </c>
      <c r="F372" s="2">
        <v>46034.08333333334</v>
      </c>
      <c r="G372" t="s">
        <v>50</v>
      </c>
      <c r="H372" t="s">
        <v>51</v>
      </c>
      <c r="I372">
        <v>1</v>
      </c>
      <c r="J372">
        <v>1</v>
      </c>
      <c r="K372" t="s">
        <v>53</v>
      </c>
      <c r="L372" t="s">
        <v>58</v>
      </c>
      <c r="M372" t="s">
        <v>69</v>
      </c>
      <c r="N372" t="s">
        <v>74</v>
      </c>
      <c r="O372">
        <v>1309</v>
      </c>
      <c r="P372" t="s">
        <v>45</v>
      </c>
      <c r="Q372" t="s">
        <v>84</v>
      </c>
      <c r="R372" t="s">
        <v>95</v>
      </c>
      <c r="S372" t="s">
        <v>109</v>
      </c>
      <c r="T372" t="s">
        <v>115</v>
      </c>
    </row>
    <row r="373" spans="1:20">
      <c r="A373" t="s">
        <v>26</v>
      </c>
      <c r="B373" t="s">
        <v>33</v>
      </c>
      <c r="C373" t="s">
        <v>37</v>
      </c>
      <c r="E373" s="2">
        <v>46034.06857638889</v>
      </c>
      <c r="F373" s="2">
        <v>46034.06858796296</v>
      </c>
      <c r="G373" t="s">
        <v>50</v>
      </c>
      <c r="H373" t="s">
        <v>51</v>
      </c>
      <c r="I373">
        <v>1</v>
      </c>
      <c r="J373">
        <v>1</v>
      </c>
      <c r="L373" t="s">
        <v>68</v>
      </c>
      <c r="M373" t="s">
        <v>71</v>
      </c>
      <c r="N373" t="s">
        <v>74</v>
      </c>
      <c r="O373">
        <v>1</v>
      </c>
      <c r="P373" t="s">
        <v>81</v>
      </c>
      <c r="Q373" t="s">
        <v>85</v>
      </c>
      <c r="R373" t="s">
        <v>93</v>
      </c>
      <c r="S373" t="s">
        <v>107</v>
      </c>
      <c r="T373" t="s">
        <v>114</v>
      </c>
    </row>
    <row r="374" spans="1:20">
      <c r="A374" t="s">
        <v>26</v>
      </c>
      <c r="B374" t="s">
        <v>33</v>
      </c>
      <c r="C374" t="s">
        <v>37</v>
      </c>
      <c r="E374" s="2">
        <v>46034.06858796296</v>
      </c>
      <c r="F374" s="2">
        <v>46034.06878472222</v>
      </c>
      <c r="G374" t="s">
        <v>50</v>
      </c>
      <c r="H374" t="s">
        <v>51</v>
      </c>
      <c r="I374">
        <v>1</v>
      </c>
      <c r="J374">
        <v>1</v>
      </c>
      <c r="L374" t="s">
        <v>68</v>
      </c>
      <c r="M374" t="s">
        <v>73</v>
      </c>
      <c r="N374" t="s">
        <v>75</v>
      </c>
      <c r="O374">
        <v>17</v>
      </c>
      <c r="P374" t="s">
        <v>81</v>
      </c>
      <c r="Q374" t="s">
        <v>85</v>
      </c>
      <c r="R374" t="s">
        <v>93</v>
      </c>
      <c r="S374" t="s">
        <v>107</v>
      </c>
      <c r="T374" t="s">
        <v>114</v>
      </c>
    </row>
    <row r="375" spans="1:20">
      <c r="A375" t="s">
        <v>20</v>
      </c>
      <c r="B375" t="s">
        <v>27</v>
      </c>
      <c r="C375" t="s">
        <v>36</v>
      </c>
      <c r="E375" s="2">
        <v>46034.06864583334</v>
      </c>
      <c r="F375" s="2">
        <v>46034.07957175926</v>
      </c>
      <c r="G375" t="s">
        <v>50</v>
      </c>
      <c r="H375" t="s">
        <v>51</v>
      </c>
      <c r="I375">
        <v>1</v>
      </c>
      <c r="J375">
        <v>1</v>
      </c>
      <c r="K375" t="s">
        <v>52</v>
      </c>
      <c r="L375" t="s">
        <v>66</v>
      </c>
      <c r="O375">
        <v>944</v>
      </c>
      <c r="P375" t="s">
        <v>79</v>
      </c>
      <c r="Q375" t="s">
        <v>85</v>
      </c>
      <c r="R375" t="s">
        <v>91</v>
      </c>
      <c r="S375" t="s">
        <v>105</v>
      </c>
      <c r="T375" t="s">
        <v>114</v>
      </c>
    </row>
    <row r="376" spans="1:20">
      <c r="A376" t="s">
        <v>26</v>
      </c>
      <c r="B376" t="s">
        <v>33</v>
      </c>
      <c r="C376" t="s">
        <v>37</v>
      </c>
      <c r="E376" s="2">
        <v>46034.06878472222</v>
      </c>
      <c r="F376" s="2">
        <v>46034.0687962963</v>
      </c>
      <c r="G376" t="s">
        <v>50</v>
      </c>
      <c r="H376" t="s">
        <v>51</v>
      </c>
      <c r="I376">
        <v>1</v>
      </c>
      <c r="J376">
        <v>1</v>
      </c>
      <c r="L376" t="s">
        <v>68</v>
      </c>
      <c r="M376" t="s">
        <v>73</v>
      </c>
      <c r="N376" t="s">
        <v>74</v>
      </c>
      <c r="O376">
        <v>1</v>
      </c>
      <c r="P376" t="s">
        <v>81</v>
      </c>
      <c r="Q376" t="s">
        <v>85</v>
      </c>
      <c r="R376" t="s">
        <v>93</v>
      </c>
      <c r="S376" t="s">
        <v>107</v>
      </c>
      <c r="T376" t="s">
        <v>114</v>
      </c>
    </row>
    <row r="377" spans="1:20">
      <c r="A377" t="s">
        <v>26</v>
      </c>
      <c r="B377" t="s">
        <v>33</v>
      </c>
      <c r="C377" t="s">
        <v>37</v>
      </c>
      <c r="E377" s="2">
        <v>46034.0687962963</v>
      </c>
      <c r="F377" s="2">
        <v>46034.06900462963</v>
      </c>
      <c r="G377" t="s">
        <v>50</v>
      </c>
      <c r="H377" t="s">
        <v>51</v>
      </c>
      <c r="I377">
        <v>1</v>
      </c>
      <c r="J377">
        <v>1</v>
      </c>
      <c r="L377" t="s">
        <v>68</v>
      </c>
      <c r="M377" t="s">
        <v>71</v>
      </c>
      <c r="N377" t="s">
        <v>74</v>
      </c>
      <c r="O377">
        <v>18</v>
      </c>
      <c r="P377" t="s">
        <v>81</v>
      </c>
      <c r="Q377" t="s">
        <v>85</v>
      </c>
      <c r="R377" t="s">
        <v>93</v>
      </c>
      <c r="S377" t="s">
        <v>107</v>
      </c>
      <c r="T377" t="s">
        <v>114</v>
      </c>
    </row>
    <row r="378" spans="1:20">
      <c r="A378" t="s">
        <v>26</v>
      </c>
      <c r="B378" t="s">
        <v>33</v>
      </c>
      <c r="C378" t="s">
        <v>39</v>
      </c>
      <c r="E378" s="2">
        <v>46034.06900462963</v>
      </c>
      <c r="F378" s="2">
        <v>46034.07326388889</v>
      </c>
      <c r="G378" t="s">
        <v>50</v>
      </c>
      <c r="H378" t="s">
        <v>51</v>
      </c>
      <c r="I378">
        <v>1</v>
      </c>
      <c r="J378">
        <v>1</v>
      </c>
      <c r="L378" t="s">
        <v>68</v>
      </c>
      <c r="M378" t="s">
        <v>71</v>
      </c>
      <c r="N378" t="s">
        <v>74</v>
      </c>
      <c r="O378">
        <v>368</v>
      </c>
      <c r="P378" t="s">
        <v>81</v>
      </c>
      <c r="Q378" t="s">
        <v>85</v>
      </c>
      <c r="R378" t="s">
        <v>93</v>
      </c>
      <c r="S378" t="s">
        <v>107</v>
      </c>
      <c r="T378" t="s">
        <v>114</v>
      </c>
    </row>
    <row r="379" spans="1:20">
      <c r="A379" t="s">
        <v>24</v>
      </c>
      <c r="B379" t="s">
        <v>31</v>
      </c>
      <c r="C379" t="s">
        <v>38</v>
      </c>
      <c r="E379" s="2">
        <v>46034.07258101852</v>
      </c>
      <c r="F379" s="2">
        <v>46034.07431712963</v>
      </c>
      <c r="G379" t="s">
        <v>50</v>
      </c>
      <c r="H379" t="s">
        <v>51</v>
      </c>
      <c r="I379">
        <v>1</v>
      </c>
      <c r="J379">
        <v>1</v>
      </c>
      <c r="K379" t="s">
        <v>56</v>
      </c>
      <c r="L379" t="s">
        <v>67</v>
      </c>
      <c r="N379" t="s">
        <v>74</v>
      </c>
      <c r="O379">
        <v>150</v>
      </c>
      <c r="P379" t="s">
        <v>79</v>
      </c>
      <c r="Q379" t="s">
        <v>85</v>
      </c>
      <c r="R379" t="s">
        <v>91</v>
      </c>
      <c r="S379" t="s">
        <v>105</v>
      </c>
      <c r="T379" t="s">
        <v>114</v>
      </c>
    </row>
    <row r="380" spans="1:20">
      <c r="A380" t="s">
        <v>26</v>
      </c>
      <c r="B380" t="s">
        <v>33</v>
      </c>
      <c r="C380" t="s">
        <v>37</v>
      </c>
      <c r="E380" s="2">
        <v>46034.07326388889</v>
      </c>
      <c r="F380" s="2">
        <v>46034.07327546296</v>
      </c>
      <c r="G380" t="s">
        <v>50</v>
      </c>
      <c r="H380" t="s">
        <v>51</v>
      </c>
      <c r="I380">
        <v>1</v>
      </c>
      <c r="J380">
        <v>1</v>
      </c>
      <c r="L380" t="s">
        <v>68</v>
      </c>
      <c r="M380" t="s">
        <v>71</v>
      </c>
      <c r="N380" t="s">
        <v>74</v>
      </c>
      <c r="O380">
        <v>1</v>
      </c>
      <c r="P380" t="s">
        <v>81</v>
      </c>
      <c r="Q380" t="s">
        <v>85</v>
      </c>
      <c r="R380" t="s">
        <v>93</v>
      </c>
      <c r="S380" t="s">
        <v>107</v>
      </c>
      <c r="T380" t="s">
        <v>114</v>
      </c>
    </row>
    <row r="381" spans="1:20">
      <c r="A381" t="s">
        <v>26</v>
      </c>
      <c r="B381" t="s">
        <v>33</v>
      </c>
      <c r="C381" t="s">
        <v>37</v>
      </c>
      <c r="E381" s="2">
        <v>46034.07327546296</v>
      </c>
      <c r="F381" s="2">
        <v>46034.07388888889</v>
      </c>
      <c r="G381" t="s">
        <v>50</v>
      </c>
      <c r="H381" t="s">
        <v>51</v>
      </c>
      <c r="I381">
        <v>1</v>
      </c>
      <c r="J381">
        <v>1</v>
      </c>
      <c r="L381" t="s">
        <v>68</v>
      </c>
      <c r="M381" t="s">
        <v>73</v>
      </c>
      <c r="N381" t="s">
        <v>76</v>
      </c>
      <c r="O381">
        <v>53</v>
      </c>
      <c r="P381" t="s">
        <v>81</v>
      </c>
      <c r="Q381" t="s">
        <v>85</v>
      </c>
      <c r="R381" t="s">
        <v>93</v>
      </c>
      <c r="S381" t="s">
        <v>107</v>
      </c>
      <c r="T381" t="s">
        <v>114</v>
      </c>
    </row>
    <row r="382" spans="1:20">
      <c r="A382" t="s">
        <v>26</v>
      </c>
      <c r="B382" t="s">
        <v>33</v>
      </c>
      <c r="C382" t="s">
        <v>37</v>
      </c>
      <c r="E382" s="2">
        <v>46034.07388888889</v>
      </c>
      <c r="F382" s="2">
        <v>46034.07392361111</v>
      </c>
      <c r="G382" t="s">
        <v>50</v>
      </c>
      <c r="H382" t="s">
        <v>51</v>
      </c>
      <c r="I382">
        <v>1</v>
      </c>
      <c r="J382">
        <v>1</v>
      </c>
      <c r="L382" t="s">
        <v>68</v>
      </c>
      <c r="M382" t="s">
        <v>71</v>
      </c>
      <c r="N382" t="s">
        <v>74</v>
      </c>
      <c r="O382">
        <v>3</v>
      </c>
      <c r="P382" t="s">
        <v>81</v>
      </c>
      <c r="Q382" t="s">
        <v>85</v>
      </c>
      <c r="R382" t="s">
        <v>93</v>
      </c>
      <c r="S382" t="s">
        <v>107</v>
      </c>
      <c r="T382" t="s">
        <v>114</v>
      </c>
    </row>
    <row r="383" spans="1:20">
      <c r="A383" t="s">
        <v>26</v>
      </c>
      <c r="B383" t="s">
        <v>33</v>
      </c>
      <c r="C383" t="s">
        <v>38</v>
      </c>
      <c r="E383" s="2">
        <v>46034.07392361111</v>
      </c>
      <c r="F383" s="2">
        <v>46034.08333333334</v>
      </c>
      <c r="G383" t="s">
        <v>50</v>
      </c>
      <c r="H383" t="s">
        <v>51</v>
      </c>
      <c r="I383">
        <v>1</v>
      </c>
      <c r="J383">
        <v>1</v>
      </c>
      <c r="L383" t="s">
        <v>68</v>
      </c>
      <c r="M383" t="s">
        <v>71</v>
      </c>
      <c r="N383" t="s">
        <v>74</v>
      </c>
      <c r="O383">
        <v>813</v>
      </c>
      <c r="P383" t="s">
        <v>79</v>
      </c>
      <c r="Q383" t="s">
        <v>85</v>
      </c>
      <c r="R383" t="s">
        <v>91</v>
      </c>
      <c r="S383" t="s">
        <v>105</v>
      </c>
      <c r="T383" t="s">
        <v>114</v>
      </c>
    </row>
    <row r="384" spans="1:20">
      <c r="A384" t="s">
        <v>24</v>
      </c>
      <c r="B384" t="s">
        <v>31</v>
      </c>
      <c r="C384" t="s">
        <v>37</v>
      </c>
      <c r="E384" s="2">
        <v>46034.07431712963</v>
      </c>
      <c r="F384" s="2">
        <v>46034.07486111111</v>
      </c>
      <c r="G384" t="s">
        <v>50</v>
      </c>
      <c r="H384" t="s">
        <v>51</v>
      </c>
      <c r="I384">
        <v>1</v>
      </c>
      <c r="J384">
        <v>1</v>
      </c>
      <c r="K384" t="s">
        <v>56</v>
      </c>
      <c r="L384" t="s">
        <v>67</v>
      </c>
      <c r="N384" t="s">
        <v>74</v>
      </c>
      <c r="O384">
        <v>47</v>
      </c>
      <c r="P384" t="s">
        <v>81</v>
      </c>
      <c r="Q384" t="s">
        <v>85</v>
      </c>
      <c r="R384" t="s">
        <v>93</v>
      </c>
      <c r="S384" t="s">
        <v>107</v>
      </c>
      <c r="T384" t="s">
        <v>114</v>
      </c>
    </row>
    <row r="385" spans="1:20">
      <c r="A385" t="s">
        <v>23</v>
      </c>
      <c r="B385" t="s">
        <v>30</v>
      </c>
      <c r="C385" t="s">
        <v>38</v>
      </c>
      <c r="E385" s="2">
        <v>46034.07471064815</v>
      </c>
      <c r="F385" s="2">
        <v>46034.07627314814</v>
      </c>
      <c r="G385" t="s">
        <v>50</v>
      </c>
      <c r="H385" t="s">
        <v>51</v>
      </c>
      <c r="I385">
        <v>1</v>
      </c>
      <c r="J385">
        <v>1</v>
      </c>
      <c r="K385" t="s">
        <v>55</v>
      </c>
      <c r="L385" t="s">
        <v>65</v>
      </c>
      <c r="M385" t="s">
        <v>69</v>
      </c>
      <c r="N385" t="s">
        <v>74</v>
      </c>
      <c r="O385">
        <v>135</v>
      </c>
      <c r="P385" t="s">
        <v>79</v>
      </c>
      <c r="Q385" t="s">
        <v>85</v>
      </c>
      <c r="R385" t="s">
        <v>91</v>
      </c>
      <c r="S385" t="s">
        <v>105</v>
      </c>
      <c r="T385" t="s">
        <v>114</v>
      </c>
    </row>
    <row r="386" spans="1:20">
      <c r="A386" t="s">
        <v>24</v>
      </c>
      <c r="B386" t="s">
        <v>31</v>
      </c>
      <c r="C386" t="s">
        <v>39</v>
      </c>
      <c r="E386" s="2">
        <v>46034.07486111111</v>
      </c>
      <c r="F386" s="2">
        <v>46034.07565972222</v>
      </c>
      <c r="G386" t="s">
        <v>50</v>
      </c>
      <c r="H386" t="s">
        <v>51</v>
      </c>
      <c r="I386">
        <v>1</v>
      </c>
      <c r="J386">
        <v>1</v>
      </c>
      <c r="K386" t="s">
        <v>56</v>
      </c>
      <c r="L386" t="s">
        <v>67</v>
      </c>
      <c r="N386" t="s">
        <v>74</v>
      </c>
      <c r="O386">
        <v>69</v>
      </c>
      <c r="P386" t="s">
        <v>81</v>
      </c>
      <c r="Q386" t="s">
        <v>85</v>
      </c>
      <c r="R386" t="s">
        <v>93</v>
      </c>
      <c r="S386" t="s">
        <v>107</v>
      </c>
      <c r="T386" t="s">
        <v>114</v>
      </c>
    </row>
    <row r="387" spans="1:20">
      <c r="A387" t="s">
        <v>24</v>
      </c>
      <c r="B387" t="s">
        <v>31</v>
      </c>
      <c r="C387" t="s">
        <v>37</v>
      </c>
      <c r="E387" s="2">
        <v>46034.07565972222</v>
      </c>
      <c r="F387" s="2">
        <v>46034.07575231481</v>
      </c>
      <c r="G387" t="s">
        <v>50</v>
      </c>
      <c r="H387" t="s">
        <v>51</v>
      </c>
      <c r="I387">
        <v>1</v>
      </c>
      <c r="J387">
        <v>1</v>
      </c>
      <c r="K387" t="s">
        <v>56</v>
      </c>
      <c r="L387" t="s">
        <v>67</v>
      </c>
      <c r="N387" t="s">
        <v>74</v>
      </c>
      <c r="O387">
        <v>8</v>
      </c>
      <c r="P387" t="s">
        <v>81</v>
      </c>
      <c r="Q387" t="s">
        <v>85</v>
      </c>
      <c r="R387" t="s">
        <v>93</v>
      </c>
      <c r="S387" t="s">
        <v>107</v>
      </c>
      <c r="T387" t="s">
        <v>114</v>
      </c>
    </row>
    <row r="388" spans="1:20">
      <c r="A388" t="s">
        <v>24</v>
      </c>
      <c r="B388" t="s">
        <v>31</v>
      </c>
      <c r="C388" t="s">
        <v>37</v>
      </c>
      <c r="E388" s="2">
        <v>46034.07575231481</v>
      </c>
      <c r="F388" s="2">
        <v>46034.07587962963</v>
      </c>
      <c r="G388" t="s">
        <v>50</v>
      </c>
      <c r="H388" t="s">
        <v>51</v>
      </c>
      <c r="I388">
        <v>1</v>
      </c>
      <c r="J388">
        <v>1</v>
      </c>
      <c r="K388" t="s">
        <v>56</v>
      </c>
      <c r="L388" t="s">
        <v>67</v>
      </c>
      <c r="N388" t="s">
        <v>76</v>
      </c>
      <c r="O388">
        <v>11</v>
      </c>
      <c r="P388" t="s">
        <v>81</v>
      </c>
      <c r="Q388" t="s">
        <v>85</v>
      </c>
      <c r="R388" t="s">
        <v>93</v>
      </c>
      <c r="S388" t="s">
        <v>107</v>
      </c>
      <c r="T388" t="s">
        <v>114</v>
      </c>
    </row>
    <row r="389" spans="1:20">
      <c r="A389" t="s">
        <v>24</v>
      </c>
      <c r="B389" t="s">
        <v>31</v>
      </c>
      <c r="C389" t="s">
        <v>37</v>
      </c>
      <c r="E389" s="2">
        <v>46034.07587962963</v>
      </c>
      <c r="F389" s="2">
        <v>46034.07636574074</v>
      </c>
      <c r="G389" t="s">
        <v>50</v>
      </c>
      <c r="H389" t="s">
        <v>51</v>
      </c>
      <c r="I389">
        <v>1</v>
      </c>
      <c r="J389">
        <v>1</v>
      </c>
      <c r="K389" t="s">
        <v>56</v>
      </c>
      <c r="L389" t="s">
        <v>67</v>
      </c>
      <c r="N389" t="s">
        <v>74</v>
      </c>
      <c r="O389">
        <v>42</v>
      </c>
      <c r="P389" t="s">
        <v>81</v>
      </c>
      <c r="Q389" t="s">
        <v>85</v>
      </c>
      <c r="R389" t="s">
        <v>93</v>
      </c>
      <c r="S389" t="s">
        <v>107</v>
      </c>
      <c r="T389" t="s">
        <v>114</v>
      </c>
    </row>
    <row r="390" spans="1:20">
      <c r="A390" t="s">
        <v>23</v>
      </c>
      <c r="B390" t="s">
        <v>30</v>
      </c>
      <c r="C390" t="s">
        <v>37</v>
      </c>
      <c r="E390" s="2">
        <v>46034.07627314814</v>
      </c>
      <c r="F390" s="2">
        <v>46034.0762962963</v>
      </c>
      <c r="G390" t="s">
        <v>50</v>
      </c>
      <c r="H390" t="s">
        <v>51</v>
      </c>
      <c r="I390">
        <v>1</v>
      </c>
      <c r="J390">
        <v>1</v>
      </c>
      <c r="K390" t="s">
        <v>55</v>
      </c>
      <c r="L390" t="s">
        <v>65</v>
      </c>
      <c r="M390" t="s">
        <v>69</v>
      </c>
      <c r="N390" t="s">
        <v>74</v>
      </c>
      <c r="O390">
        <v>2</v>
      </c>
      <c r="P390" t="s">
        <v>81</v>
      </c>
      <c r="Q390" t="s">
        <v>85</v>
      </c>
      <c r="R390" t="s">
        <v>93</v>
      </c>
      <c r="S390" t="s">
        <v>107</v>
      </c>
      <c r="T390" t="s">
        <v>114</v>
      </c>
    </row>
    <row r="391" spans="1:20">
      <c r="A391" t="s">
        <v>23</v>
      </c>
      <c r="B391" t="s">
        <v>30</v>
      </c>
      <c r="C391" t="s">
        <v>37</v>
      </c>
      <c r="E391" s="2">
        <v>46034.0762962963</v>
      </c>
      <c r="F391" s="2">
        <v>46034.07651620371</v>
      </c>
      <c r="G391" t="s">
        <v>50</v>
      </c>
      <c r="H391" t="s">
        <v>51</v>
      </c>
      <c r="I391">
        <v>1</v>
      </c>
      <c r="J391">
        <v>1</v>
      </c>
      <c r="K391" t="s">
        <v>55</v>
      </c>
      <c r="L391" t="s">
        <v>65</v>
      </c>
      <c r="M391" t="s">
        <v>69</v>
      </c>
      <c r="N391" t="s">
        <v>75</v>
      </c>
      <c r="O391">
        <v>19</v>
      </c>
      <c r="P391" t="s">
        <v>81</v>
      </c>
      <c r="Q391" t="s">
        <v>85</v>
      </c>
      <c r="R391" t="s">
        <v>93</v>
      </c>
      <c r="S391" t="s">
        <v>107</v>
      </c>
      <c r="T391" t="s">
        <v>114</v>
      </c>
    </row>
    <row r="392" spans="1:20">
      <c r="A392" t="s">
        <v>24</v>
      </c>
      <c r="B392" t="s">
        <v>31</v>
      </c>
      <c r="C392" t="s">
        <v>38</v>
      </c>
      <c r="E392" s="2">
        <v>46034.07636574074</v>
      </c>
      <c r="F392" s="2">
        <v>46034.07651620371</v>
      </c>
      <c r="G392" t="s">
        <v>50</v>
      </c>
      <c r="H392" t="s">
        <v>51</v>
      </c>
      <c r="I392">
        <v>1</v>
      </c>
      <c r="J392">
        <v>1</v>
      </c>
      <c r="K392" t="s">
        <v>56</v>
      </c>
      <c r="L392" t="s">
        <v>67</v>
      </c>
      <c r="N392" t="s">
        <v>74</v>
      </c>
      <c r="O392">
        <v>13</v>
      </c>
      <c r="P392" t="s">
        <v>79</v>
      </c>
      <c r="Q392" t="s">
        <v>85</v>
      </c>
      <c r="R392" t="s">
        <v>91</v>
      </c>
      <c r="S392" t="s">
        <v>105</v>
      </c>
      <c r="T392" t="s">
        <v>114</v>
      </c>
    </row>
    <row r="393" spans="1:20">
      <c r="A393" t="s">
        <v>24</v>
      </c>
      <c r="B393" t="s">
        <v>31</v>
      </c>
      <c r="C393" t="s">
        <v>36</v>
      </c>
      <c r="E393" s="2">
        <v>46034.07651620371</v>
      </c>
      <c r="F393" s="2">
        <v>46034.08333333334</v>
      </c>
      <c r="G393" t="s">
        <v>50</v>
      </c>
      <c r="H393" t="s">
        <v>51</v>
      </c>
      <c r="I393">
        <v>1</v>
      </c>
      <c r="J393">
        <v>1</v>
      </c>
      <c r="K393" t="s">
        <v>56</v>
      </c>
      <c r="L393" t="s">
        <v>67</v>
      </c>
      <c r="N393" t="s">
        <v>74</v>
      </c>
      <c r="O393">
        <v>589</v>
      </c>
      <c r="P393" t="s">
        <v>79</v>
      </c>
      <c r="Q393" t="s">
        <v>85</v>
      </c>
      <c r="R393" t="s">
        <v>91</v>
      </c>
      <c r="S393" t="s">
        <v>105</v>
      </c>
      <c r="T393" t="s">
        <v>114</v>
      </c>
    </row>
    <row r="394" spans="1:20">
      <c r="A394" t="s">
        <v>23</v>
      </c>
      <c r="B394" t="s">
        <v>30</v>
      </c>
      <c r="C394" t="s">
        <v>37</v>
      </c>
      <c r="E394" s="2">
        <v>46034.07651620371</v>
      </c>
      <c r="F394" s="2">
        <v>46034.07653935185</v>
      </c>
      <c r="G394" t="s">
        <v>50</v>
      </c>
      <c r="H394" t="s">
        <v>51</v>
      </c>
      <c r="I394">
        <v>1</v>
      </c>
      <c r="J394">
        <v>1</v>
      </c>
      <c r="K394" t="s">
        <v>55</v>
      </c>
      <c r="L394" t="s">
        <v>65</v>
      </c>
      <c r="M394" t="s">
        <v>69</v>
      </c>
      <c r="N394" t="s">
        <v>74</v>
      </c>
      <c r="O394">
        <v>2</v>
      </c>
      <c r="P394" t="s">
        <v>81</v>
      </c>
      <c r="Q394" t="s">
        <v>85</v>
      </c>
      <c r="R394" t="s">
        <v>93</v>
      </c>
      <c r="S394" t="s">
        <v>107</v>
      </c>
      <c r="T394" t="s">
        <v>114</v>
      </c>
    </row>
    <row r="395" spans="1:20">
      <c r="A395" t="s">
        <v>23</v>
      </c>
      <c r="B395" t="s">
        <v>30</v>
      </c>
      <c r="C395" t="s">
        <v>39</v>
      </c>
      <c r="E395" s="2">
        <v>46034.07653935185</v>
      </c>
      <c r="F395" s="2">
        <v>46034.07714120371</v>
      </c>
      <c r="G395" t="s">
        <v>50</v>
      </c>
      <c r="H395" t="s">
        <v>51</v>
      </c>
      <c r="I395">
        <v>1</v>
      </c>
      <c r="J395">
        <v>1</v>
      </c>
      <c r="K395" t="s">
        <v>55</v>
      </c>
      <c r="L395" t="s">
        <v>65</v>
      </c>
      <c r="M395" t="s">
        <v>69</v>
      </c>
      <c r="N395" t="s">
        <v>74</v>
      </c>
      <c r="O395">
        <v>52</v>
      </c>
      <c r="P395" t="s">
        <v>81</v>
      </c>
      <c r="Q395" t="s">
        <v>85</v>
      </c>
      <c r="R395" t="s">
        <v>93</v>
      </c>
      <c r="S395" t="s">
        <v>107</v>
      </c>
      <c r="T395" t="s">
        <v>114</v>
      </c>
    </row>
    <row r="396" spans="1:20">
      <c r="A396" t="s">
        <v>23</v>
      </c>
      <c r="B396" t="s">
        <v>30</v>
      </c>
      <c r="C396" t="s">
        <v>37</v>
      </c>
      <c r="E396" s="2">
        <v>46034.07714120371</v>
      </c>
      <c r="F396" s="2">
        <v>46034.0771875</v>
      </c>
      <c r="G396" t="s">
        <v>50</v>
      </c>
      <c r="H396" t="s">
        <v>51</v>
      </c>
      <c r="I396">
        <v>1</v>
      </c>
      <c r="J396">
        <v>1</v>
      </c>
      <c r="K396" t="s">
        <v>55</v>
      </c>
      <c r="L396" t="s">
        <v>65</v>
      </c>
      <c r="M396" t="s">
        <v>69</v>
      </c>
      <c r="N396" t="s">
        <v>74</v>
      </c>
      <c r="O396">
        <v>4</v>
      </c>
      <c r="P396" t="s">
        <v>81</v>
      </c>
      <c r="Q396" t="s">
        <v>85</v>
      </c>
      <c r="R396" t="s">
        <v>93</v>
      </c>
      <c r="S396" t="s">
        <v>107</v>
      </c>
      <c r="T396" t="s">
        <v>114</v>
      </c>
    </row>
    <row r="397" spans="1:20">
      <c r="A397" t="s">
        <v>23</v>
      </c>
      <c r="B397" t="s">
        <v>30</v>
      </c>
      <c r="C397" t="s">
        <v>37</v>
      </c>
      <c r="E397" s="2">
        <v>46034.0771875</v>
      </c>
      <c r="F397" s="2">
        <v>46034.07765046296</v>
      </c>
      <c r="G397" t="s">
        <v>50</v>
      </c>
      <c r="H397" t="s">
        <v>51</v>
      </c>
      <c r="I397">
        <v>1</v>
      </c>
      <c r="J397">
        <v>1</v>
      </c>
      <c r="K397" t="s">
        <v>55</v>
      </c>
      <c r="L397" t="s">
        <v>65</v>
      </c>
      <c r="M397" t="s">
        <v>69</v>
      </c>
      <c r="N397" t="s">
        <v>76</v>
      </c>
      <c r="O397">
        <v>40</v>
      </c>
      <c r="P397" t="s">
        <v>81</v>
      </c>
      <c r="Q397" t="s">
        <v>85</v>
      </c>
      <c r="R397" t="s">
        <v>93</v>
      </c>
      <c r="S397" t="s">
        <v>107</v>
      </c>
      <c r="T397" t="s">
        <v>114</v>
      </c>
    </row>
    <row r="398" spans="1:20">
      <c r="A398" t="s">
        <v>23</v>
      </c>
      <c r="B398" t="s">
        <v>30</v>
      </c>
      <c r="C398" t="s">
        <v>37</v>
      </c>
      <c r="E398" s="2">
        <v>46034.07765046296</v>
      </c>
      <c r="F398" s="2">
        <v>46034.07767361111</v>
      </c>
      <c r="G398" t="s">
        <v>50</v>
      </c>
      <c r="H398" t="s">
        <v>51</v>
      </c>
      <c r="I398">
        <v>1</v>
      </c>
      <c r="J398">
        <v>1</v>
      </c>
      <c r="K398" t="s">
        <v>55</v>
      </c>
      <c r="L398" t="s">
        <v>65</v>
      </c>
      <c r="M398" t="s">
        <v>69</v>
      </c>
      <c r="N398" t="s">
        <v>74</v>
      </c>
      <c r="O398">
        <v>2</v>
      </c>
      <c r="P398" t="s">
        <v>81</v>
      </c>
      <c r="Q398" t="s">
        <v>85</v>
      </c>
      <c r="R398" t="s">
        <v>93</v>
      </c>
      <c r="S398" t="s">
        <v>107</v>
      </c>
      <c r="T398" t="s">
        <v>114</v>
      </c>
    </row>
    <row r="399" spans="1:20">
      <c r="A399" t="s">
        <v>23</v>
      </c>
      <c r="B399" t="s">
        <v>30</v>
      </c>
      <c r="C399" t="s">
        <v>38</v>
      </c>
      <c r="E399" s="2">
        <v>46034.07767361111</v>
      </c>
      <c r="F399" s="2">
        <v>46034.07784722222</v>
      </c>
      <c r="G399" t="s">
        <v>50</v>
      </c>
      <c r="H399" t="s">
        <v>51</v>
      </c>
      <c r="I399">
        <v>1</v>
      </c>
      <c r="J399">
        <v>1</v>
      </c>
      <c r="K399" t="s">
        <v>55</v>
      </c>
      <c r="L399" t="s">
        <v>65</v>
      </c>
      <c r="M399" t="s">
        <v>69</v>
      </c>
      <c r="N399" t="s">
        <v>74</v>
      </c>
      <c r="O399">
        <v>15</v>
      </c>
      <c r="P399" t="s">
        <v>79</v>
      </c>
      <c r="Q399" t="s">
        <v>85</v>
      </c>
      <c r="R399" t="s">
        <v>91</v>
      </c>
      <c r="S399" t="s">
        <v>105</v>
      </c>
      <c r="T399" t="s">
        <v>114</v>
      </c>
    </row>
    <row r="400" spans="1:20">
      <c r="A400" t="s">
        <v>23</v>
      </c>
      <c r="B400" t="s">
        <v>30</v>
      </c>
      <c r="C400" t="s">
        <v>36</v>
      </c>
      <c r="E400" s="2">
        <v>46034.07784722222</v>
      </c>
      <c r="F400" s="2">
        <v>46034.08333333334</v>
      </c>
      <c r="G400" t="s">
        <v>50</v>
      </c>
      <c r="H400" t="s">
        <v>51</v>
      </c>
      <c r="I400">
        <v>1</v>
      </c>
      <c r="J400">
        <v>1</v>
      </c>
      <c r="K400" t="s">
        <v>55</v>
      </c>
      <c r="L400" t="s">
        <v>65</v>
      </c>
      <c r="M400" t="s">
        <v>69</v>
      </c>
      <c r="N400" t="s">
        <v>74</v>
      </c>
      <c r="O400">
        <v>474</v>
      </c>
      <c r="P400" t="s">
        <v>79</v>
      </c>
      <c r="Q400" t="s">
        <v>85</v>
      </c>
      <c r="R400" t="s">
        <v>91</v>
      </c>
      <c r="S400" t="s">
        <v>105</v>
      </c>
      <c r="T400" t="s">
        <v>114</v>
      </c>
    </row>
    <row r="401" spans="1:20">
      <c r="A401" t="s">
        <v>20</v>
      </c>
      <c r="B401" t="s">
        <v>27</v>
      </c>
      <c r="C401" t="s">
        <v>38</v>
      </c>
      <c r="E401" s="2">
        <v>46034.07957175926</v>
      </c>
      <c r="F401" s="2">
        <v>46034.08288194444</v>
      </c>
      <c r="G401" t="s">
        <v>50</v>
      </c>
      <c r="H401" t="s">
        <v>51</v>
      </c>
      <c r="I401">
        <v>1</v>
      </c>
      <c r="J401">
        <v>1</v>
      </c>
      <c r="K401" t="s">
        <v>52</v>
      </c>
      <c r="L401" t="s">
        <v>66</v>
      </c>
      <c r="O401">
        <v>286</v>
      </c>
      <c r="P401" t="s">
        <v>79</v>
      </c>
      <c r="Q401" t="s">
        <v>85</v>
      </c>
      <c r="R401" t="s">
        <v>91</v>
      </c>
      <c r="S401" t="s">
        <v>105</v>
      </c>
      <c r="T401" t="s">
        <v>114</v>
      </c>
    </row>
    <row r="402" spans="1:20">
      <c r="A402" t="s">
        <v>20</v>
      </c>
      <c r="B402" t="s">
        <v>27</v>
      </c>
      <c r="C402" t="s">
        <v>39</v>
      </c>
      <c r="E402" s="2">
        <v>46034.08288194444</v>
      </c>
      <c r="F402" s="2">
        <v>46034.08333333334</v>
      </c>
      <c r="G402" t="s">
        <v>50</v>
      </c>
      <c r="H402" t="s">
        <v>51</v>
      </c>
      <c r="I402">
        <v>1</v>
      </c>
      <c r="J402">
        <v>1</v>
      </c>
      <c r="K402" t="s">
        <v>52</v>
      </c>
      <c r="L402" t="s">
        <v>66</v>
      </c>
      <c r="O402">
        <v>39</v>
      </c>
      <c r="P402" t="s">
        <v>81</v>
      </c>
      <c r="Q402" t="s">
        <v>85</v>
      </c>
      <c r="R402" t="s">
        <v>93</v>
      </c>
      <c r="S402" t="s">
        <v>107</v>
      </c>
      <c r="T402" t="s">
        <v>114</v>
      </c>
    </row>
    <row r="403" spans="1:20">
      <c r="A403" t="s">
        <v>20</v>
      </c>
      <c r="B403" t="s">
        <v>27</v>
      </c>
      <c r="C403" t="s">
        <v>39</v>
      </c>
      <c r="E403" s="2">
        <v>46034.08333333334</v>
      </c>
      <c r="F403" s="2">
        <v>46034.08428240741</v>
      </c>
      <c r="G403" t="s">
        <v>50</v>
      </c>
      <c r="H403" t="s">
        <v>51</v>
      </c>
      <c r="I403">
        <v>2</v>
      </c>
      <c r="J403">
        <v>2</v>
      </c>
      <c r="K403" t="s">
        <v>52</v>
      </c>
      <c r="L403" t="s">
        <v>66</v>
      </c>
      <c r="O403">
        <v>82</v>
      </c>
      <c r="P403" t="s">
        <v>81</v>
      </c>
      <c r="Q403" t="s">
        <v>85</v>
      </c>
      <c r="R403" t="s">
        <v>93</v>
      </c>
      <c r="S403" t="s">
        <v>107</v>
      </c>
      <c r="T403" t="s">
        <v>114</v>
      </c>
    </row>
    <row r="404" spans="1:20">
      <c r="A404" t="s">
        <v>21</v>
      </c>
      <c r="B404" t="s">
        <v>28</v>
      </c>
      <c r="C404" t="s">
        <v>35</v>
      </c>
      <c r="D404" t="s">
        <v>45</v>
      </c>
      <c r="E404" s="2">
        <v>46034.08333333334</v>
      </c>
      <c r="F404" s="2">
        <v>46034.09114583334</v>
      </c>
      <c r="G404" t="s">
        <v>50</v>
      </c>
      <c r="H404" t="s">
        <v>51</v>
      </c>
      <c r="I404">
        <v>2</v>
      </c>
      <c r="J404">
        <v>2</v>
      </c>
      <c r="K404" t="s">
        <v>53</v>
      </c>
      <c r="L404" t="s">
        <v>58</v>
      </c>
      <c r="M404" t="s">
        <v>69</v>
      </c>
      <c r="N404" t="s">
        <v>74</v>
      </c>
      <c r="O404">
        <v>675</v>
      </c>
      <c r="P404" t="s">
        <v>45</v>
      </c>
      <c r="Q404" t="s">
        <v>84</v>
      </c>
      <c r="R404" t="s">
        <v>95</v>
      </c>
      <c r="S404" t="s">
        <v>109</v>
      </c>
      <c r="T404" t="s">
        <v>115</v>
      </c>
    </row>
    <row r="405" spans="1:20">
      <c r="A405" t="s">
        <v>22</v>
      </c>
      <c r="B405" t="s">
        <v>29</v>
      </c>
      <c r="C405" t="s">
        <v>35</v>
      </c>
      <c r="D405" t="s">
        <v>44</v>
      </c>
      <c r="E405" s="2">
        <v>46034.08333333334</v>
      </c>
      <c r="F405" s="2">
        <v>46034.08582175926</v>
      </c>
      <c r="G405" t="s">
        <v>50</v>
      </c>
      <c r="H405" t="s">
        <v>51</v>
      </c>
      <c r="I405">
        <v>2</v>
      </c>
      <c r="J405">
        <v>2</v>
      </c>
      <c r="K405" t="s">
        <v>54</v>
      </c>
      <c r="L405" t="s">
        <v>64</v>
      </c>
      <c r="M405" t="s">
        <v>69</v>
      </c>
      <c r="N405" t="s">
        <v>74</v>
      </c>
      <c r="O405">
        <v>215</v>
      </c>
      <c r="P405" t="s">
        <v>44</v>
      </c>
      <c r="Q405" t="s">
        <v>84</v>
      </c>
      <c r="R405" t="s">
        <v>94</v>
      </c>
      <c r="S405" t="s">
        <v>108</v>
      </c>
      <c r="T405" t="s">
        <v>115</v>
      </c>
    </row>
    <row r="406" spans="1:20">
      <c r="A406" t="s">
        <v>23</v>
      </c>
      <c r="B406" t="s">
        <v>30</v>
      </c>
      <c r="C406" t="s">
        <v>36</v>
      </c>
      <c r="E406" s="2">
        <v>46034.08333333334</v>
      </c>
      <c r="F406" s="2">
        <v>46034.10128472222</v>
      </c>
      <c r="G406" t="s">
        <v>50</v>
      </c>
      <c r="H406" t="s">
        <v>51</v>
      </c>
      <c r="I406">
        <v>2</v>
      </c>
      <c r="J406">
        <v>2</v>
      </c>
      <c r="K406" t="s">
        <v>55</v>
      </c>
      <c r="L406" t="s">
        <v>65</v>
      </c>
      <c r="M406" t="s">
        <v>69</v>
      </c>
      <c r="N406" t="s">
        <v>74</v>
      </c>
      <c r="O406">
        <v>1551</v>
      </c>
      <c r="P406" t="s">
        <v>79</v>
      </c>
      <c r="Q406" t="s">
        <v>85</v>
      </c>
      <c r="R406" t="s">
        <v>91</v>
      </c>
      <c r="S406" t="s">
        <v>105</v>
      </c>
      <c r="T406" t="s">
        <v>114</v>
      </c>
    </row>
    <row r="407" spans="1:20">
      <c r="A407" t="s">
        <v>24</v>
      </c>
      <c r="B407" t="s">
        <v>31</v>
      </c>
      <c r="C407" t="s">
        <v>36</v>
      </c>
      <c r="E407" s="2">
        <v>46034.08333333334</v>
      </c>
      <c r="F407" s="2">
        <v>46034.10190972222</v>
      </c>
      <c r="G407" t="s">
        <v>50</v>
      </c>
      <c r="H407" t="s">
        <v>51</v>
      </c>
      <c r="I407">
        <v>2</v>
      </c>
      <c r="J407">
        <v>2</v>
      </c>
      <c r="K407" t="s">
        <v>56</v>
      </c>
      <c r="L407" t="s">
        <v>67</v>
      </c>
      <c r="N407" t="s">
        <v>74</v>
      </c>
      <c r="O407">
        <v>1605</v>
      </c>
      <c r="P407" t="s">
        <v>79</v>
      </c>
      <c r="Q407" t="s">
        <v>85</v>
      </c>
      <c r="R407" t="s">
        <v>91</v>
      </c>
      <c r="S407" t="s">
        <v>105</v>
      </c>
      <c r="T407" t="s">
        <v>114</v>
      </c>
    </row>
    <row r="408" spans="1:20">
      <c r="A408" t="s">
        <v>26</v>
      </c>
      <c r="B408" t="s">
        <v>33</v>
      </c>
      <c r="C408" t="s">
        <v>38</v>
      </c>
      <c r="E408" s="2">
        <v>46034.08333333334</v>
      </c>
      <c r="F408" s="2">
        <v>46034.11197916666</v>
      </c>
      <c r="G408" t="s">
        <v>50</v>
      </c>
      <c r="H408" t="s">
        <v>51</v>
      </c>
      <c r="I408">
        <v>2</v>
      </c>
      <c r="J408">
        <v>2</v>
      </c>
      <c r="L408" t="s">
        <v>68</v>
      </c>
      <c r="M408" t="s">
        <v>71</v>
      </c>
      <c r="N408" t="s">
        <v>74</v>
      </c>
      <c r="O408">
        <v>2475</v>
      </c>
      <c r="P408" t="s">
        <v>79</v>
      </c>
      <c r="Q408" t="s">
        <v>85</v>
      </c>
      <c r="R408" t="s">
        <v>91</v>
      </c>
      <c r="S408" t="s">
        <v>105</v>
      </c>
      <c r="T408" t="s">
        <v>114</v>
      </c>
    </row>
    <row r="409" spans="1:20">
      <c r="A409" t="s">
        <v>25</v>
      </c>
      <c r="B409" t="s">
        <v>32</v>
      </c>
      <c r="C409" t="s">
        <v>38</v>
      </c>
      <c r="E409" s="2">
        <v>46034.08333333334</v>
      </c>
      <c r="F409" s="2">
        <v>46034.09561342592</v>
      </c>
      <c r="G409" t="s">
        <v>50</v>
      </c>
      <c r="H409" t="s">
        <v>51</v>
      </c>
      <c r="I409">
        <v>2</v>
      </c>
      <c r="J409">
        <v>2</v>
      </c>
      <c r="K409" t="s">
        <v>53</v>
      </c>
      <c r="L409" t="s">
        <v>62</v>
      </c>
      <c r="M409" t="s">
        <v>69</v>
      </c>
      <c r="N409" t="s">
        <v>74</v>
      </c>
      <c r="O409">
        <v>1061</v>
      </c>
      <c r="P409" t="s">
        <v>79</v>
      </c>
      <c r="Q409" t="s">
        <v>85</v>
      </c>
      <c r="R409" t="s">
        <v>91</v>
      </c>
      <c r="S409" t="s">
        <v>105</v>
      </c>
      <c r="T409" t="s">
        <v>114</v>
      </c>
    </row>
    <row r="410" spans="1:20">
      <c r="A410" t="s">
        <v>20</v>
      </c>
      <c r="B410" t="s">
        <v>27</v>
      </c>
      <c r="C410" t="s">
        <v>38</v>
      </c>
      <c r="E410" s="2">
        <v>46034.08428240741</v>
      </c>
      <c r="F410" s="2">
        <v>46034.08702546296</v>
      </c>
      <c r="G410" t="s">
        <v>50</v>
      </c>
      <c r="H410" t="s">
        <v>51</v>
      </c>
      <c r="I410">
        <v>2</v>
      </c>
      <c r="J410">
        <v>2</v>
      </c>
      <c r="K410" t="s">
        <v>52</v>
      </c>
      <c r="L410" t="s">
        <v>66</v>
      </c>
      <c r="O410">
        <v>237</v>
      </c>
      <c r="P410" t="s">
        <v>79</v>
      </c>
      <c r="Q410" t="s">
        <v>85</v>
      </c>
      <c r="R410" t="s">
        <v>91</v>
      </c>
      <c r="S410" t="s">
        <v>105</v>
      </c>
      <c r="T410" t="s">
        <v>114</v>
      </c>
    </row>
    <row r="411" spans="1:20">
      <c r="A411" t="s">
        <v>22</v>
      </c>
      <c r="B411" t="s">
        <v>29</v>
      </c>
      <c r="C411" t="s">
        <v>35</v>
      </c>
      <c r="D411" t="s">
        <v>44</v>
      </c>
      <c r="E411" s="2">
        <v>46034.08582175926</v>
      </c>
      <c r="F411" s="2">
        <v>46034.08583333333</v>
      </c>
      <c r="G411" t="s">
        <v>50</v>
      </c>
      <c r="H411" t="s">
        <v>51</v>
      </c>
      <c r="I411">
        <v>2</v>
      </c>
      <c r="J411">
        <v>2</v>
      </c>
      <c r="K411" t="s">
        <v>54</v>
      </c>
      <c r="L411" t="s">
        <v>64</v>
      </c>
      <c r="M411" t="s">
        <v>69</v>
      </c>
      <c r="N411" t="s">
        <v>74</v>
      </c>
      <c r="O411">
        <v>1</v>
      </c>
      <c r="P411" t="s">
        <v>44</v>
      </c>
      <c r="Q411" t="s">
        <v>84</v>
      </c>
      <c r="R411" t="s">
        <v>94</v>
      </c>
      <c r="S411" t="s">
        <v>108</v>
      </c>
      <c r="T411" t="s">
        <v>115</v>
      </c>
    </row>
    <row r="412" spans="1:20">
      <c r="A412" t="s">
        <v>22</v>
      </c>
      <c r="B412" t="s">
        <v>29</v>
      </c>
      <c r="C412" t="s">
        <v>35</v>
      </c>
      <c r="D412" t="s">
        <v>44</v>
      </c>
      <c r="E412" s="2">
        <v>46034.08583333333</v>
      </c>
      <c r="F412" s="2">
        <v>46034.08646990741</v>
      </c>
      <c r="G412" t="s">
        <v>50</v>
      </c>
      <c r="H412" t="s">
        <v>51</v>
      </c>
      <c r="I412">
        <v>2</v>
      </c>
      <c r="J412">
        <v>2</v>
      </c>
      <c r="K412" t="s">
        <v>54</v>
      </c>
      <c r="L412" t="s">
        <v>64</v>
      </c>
      <c r="M412" t="s">
        <v>69</v>
      </c>
      <c r="N412" t="s">
        <v>74</v>
      </c>
      <c r="O412">
        <v>55</v>
      </c>
      <c r="P412" t="s">
        <v>44</v>
      </c>
      <c r="Q412" t="s">
        <v>84</v>
      </c>
      <c r="R412" t="s">
        <v>94</v>
      </c>
      <c r="S412" t="s">
        <v>108</v>
      </c>
      <c r="T412" t="s">
        <v>115</v>
      </c>
    </row>
    <row r="413" spans="1:20">
      <c r="A413" t="s">
        <v>22</v>
      </c>
      <c r="B413" t="s">
        <v>29</v>
      </c>
      <c r="C413" t="s">
        <v>35</v>
      </c>
      <c r="D413" t="s">
        <v>44</v>
      </c>
      <c r="E413" s="2">
        <v>46034.08646990741</v>
      </c>
      <c r="F413" s="2">
        <v>46034.08789351852</v>
      </c>
      <c r="G413" t="s">
        <v>50</v>
      </c>
      <c r="H413" t="s">
        <v>51</v>
      </c>
      <c r="I413">
        <v>2</v>
      </c>
      <c r="J413">
        <v>2</v>
      </c>
      <c r="K413" t="s">
        <v>54</v>
      </c>
      <c r="L413" t="s">
        <v>64</v>
      </c>
      <c r="M413" t="s">
        <v>69</v>
      </c>
      <c r="N413" t="s">
        <v>74</v>
      </c>
      <c r="O413">
        <v>123</v>
      </c>
      <c r="P413" t="s">
        <v>44</v>
      </c>
      <c r="Q413" t="s">
        <v>84</v>
      </c>
      <c r="R413" t="s">
        <v>94</v>
      </c>
      <c r="S413" t="s">
        <v>108</v>
      </c>
      <c r="T413" t="s">
        <v>115</v>
      </c>
    </row>
    <row r="414" spans="1:20">
      <c r="A414" t="s">
        <v>20</v>
      </c>
      <c r="B414" t="s">
        <v>27</v>
      </c>
      <c r="C414" t="s">
        <v>36</v>
      </c>
      <c r="E414" s="2">
        <v>46034.08702546296</v>
      </c>
      <c r="F414" s="2">
        <v>46034.09797453704</v>
      </c>
      <c r="G414" t="s">
        <v>50</v>
      </c>
      <c r="H414" t="s">
        <v>51</v>
      </c>
      <c r="I414">
        <v>2</v>
      </c>
      <c r="J414">
        <v>2</v>
      </c>
      <c r="K414" t="s">
        <v>52</v>
      </c>
      <c r="L414" t="s">
        <v>66</v>
      </c>
      <c r="O414">
        <v>946</v>
      </c>
      <c r="P414" t="s">
        <v>79</v>
      </c>
      <c r="Q414" t="s">
        <v>85</v>
      </c>
      <c r="R414" t="s">
        <v>91</v>
      </c>
      <c r="S414" t="s">
        <v>105</v>
      </c>
      <c r="T414" t="s">
        <v>114</v>
      </c>
    </row>
    <row r="415" spans="1:20">
      <c r="A415" t="s">
        <v>22</v>
      </c>
      <c r="B415" t="s">
        <v>29</v>
      </c>
      <c r="C415" t="s">
        <v>35</v>
      </c>
      <c r="D415" t="s">
        <v>44</v>
      </c>
      <c r="E415" s="2">
        <v>46034.08789351852</v>
      </c>
      <c r="F415" s="2">
        <v>46034.08903935185</v>
      </c>
      <c r="G415" t="s">
        <v>50</v>
      </c>
      <c r="H415" t="s">
        <v>51</v>
      </c>
      <c r="I415">
        <v>2</v>
      </c>
      <c r="J415">
        <v>2</v>
      </c>
      <c r="K415" t="s">
        <v>54</v>
      </c>
      <c r="L415" t="s">
        <v>64</v>
      </c>
      <c r="M415" t="s">
        <v>69</v>
      </c>
      <c r="N415" t="s">
        <v>74</v>
      </c>
      <c r="O415">
        <v>99</v>
      </c>
      <c r="P415" t="s">
        <v>44</v>
      </c>
      <c r="Q415" t="s">
        <v>84</v>
      </c>
      <c r="R415" t="s">
        <v>94</v>
      </c>
      <c r="S415" t="s">
        <v>108</v>
      </c>
      <c r="T415" t="s">
        <v>115</v>
      </c>
    </row>
    <row r="416" spans="1:20">
      <c r="A416" t="s">
        <v>22</v>
      </c>
      <c r="B416" t="s">
        <v>29</v>
      </c>
      <c r="C416" t="s">
        <v>35</v>
      </c>
      <c r="D416" t="s">
        <v>44</v>
      </c>
      <c r="E416" s="2">
        <v>46034.08903935185</v>
      </c>
      <c r="F416" s="2">
        <v>46034.08922453703</v>
      </c>
      <c r="G416" t="s">
        <v>50</v>
      </c>
      <c r="H416" t="s">
        <v>51</v>
      </c>
      <c r="I416">
        <v>2</v>
      </c>
      <c r="J416">
        <v>2</v>
      </c>
      <c r="K416" t="s">
        <v>54</v>
      </c>
      <c r="L416" t="s">
        <v>64</v>
      </c>
      <c r="M416" t="s">
        <v>69</v>
      </c>
      <c r="N416" t="s">
        <v>74</v>
      </c>
      <c r="O416">
        <v>16</v>
      </c>
      <c r="P416" t="s">
        <v>44</v>
      </c>
      <c r="Q416" t="s">
        <v>84</v>
      </c>
      <c r="R416" t="s">
        <v>94</v>
      </c>
      <c r="S416" t="s">
        <v>108</v>
      </c>
      <c r="T416" t="s">
        <v>115</v>
      </c>
    </row>
    <row r="417" spans="1:20">
      <c r="A417" t="s">
        <v>22</v>
      </c>
      <c r="B417" t="s">
        <v>29</v>
      </c>
      <c r="C417" t="s">
        <v>35</v>
      </c>
      <c r="D417" t="s">
        <v>44</v>
      </c>
      <c r="E417" s="2">
        <v>46034.08922453703</v>
      </c>
      <c r="F417" s="2">
        <v>46034.08966435185</v>
      </c>
      <c r="G417" t="s">
        <v>50</v>
      </c>
      <c r="H417" t="s">
        <v>51</v>
      </c>
      <c r="I417">
        <v>2</v>
      </c>
      <c r="J417">
        <v>2</v>
      </c>
      <c r="K417" t="s">
        <v>54</v>
      </c>
      <c r="L417" t="s">
        <v>64</v>
      </c>
      <c r="M417" t="s">
        <v>69</v>
      </c>
      <c r="N417" t="s">
        <v>74</v>
      </c>
      <c r="O417">
        <v>38</v>
      </c>
      <c r="P417" t="s">
        <v>44</v>
      </c>
      <c r="Q417" t="s">
        <v>84</v>
      </c>
      <c r="R417" t="s">
        <v>94</v>
      </c>
      <c r="S417" t="s">
        <v>108</v>
      </c>
      <c r="T417" t="s">
        <v>115</v>
      </c>
    </row>
    <row r="418" spans="1:20">
      <c r="A418" t="s">
        <v>22</v>
      </c>
      <c r="B418" t="s">
        <v>29</v>
      </c>
      <c r="C418" t="s">
        <v>36</v>
      </c>
      <c r="E418" s="2">
        <v>46034.08966435185</v>
      </c>
      <c r="F418" s="2">
        <v>46034.11130787037</v>
      </c>
      <c r="G418" t="s">
        <v>50</v>
      </c>
      <c r="H418" t="s">
        <v>51</v>
      </c>
      <c r="I418">
        <v>2</v>
      </c>
      <c r="J418">
        <v>2</v>
      </c>
      <c r="K418" t="s">
        <v>54</v>
      </c>
      <c r="L418" t="s">
        <v>64</v>
      </c>
      <c r="M418" t="s">
        <v>69</v>
      </c>
      <c r="N418" t="s">
        <v>74</v>
      </c>
      <c r="O418">
        <v>1870</v>
      </c>
      <c r="P418" t="s">
        <v>79</v>
      </c>
      <c r="Q418" t="s">
        <v>85</v>
      </c>
      <c r="R418" t="s">
        <v>91</v>
      </c>
      <c r="S418" t="s">
        <v>105</v>
      </c>
      <c r="T418" t="s">
        <v>114</v>
      </c>
    </row>
    <row r="419" spans="1:20">
      <c r="A419" t="s">
        <v>21</v>
      </c>
      <c r="B419" t="s">
        <v>28</v>
      </c>
      <c r="C419" t="s">
        <v>35</v>
      </c>
      <c r="D419" t="s">
        <v>45</v>
      </c>
      <c r="E419" s="2">
        <v>46034.09114583334</v>
      </c>
      <c r="F419" s="2">
        <v>46034.09118055556</v>
      </c>
      <c r="G419" t="s">
        <v>50</v>
      </c>
      <c r="H419" t="s">
        <v>51</v>
      </c>
      <c r="I419">
        <v>2</v>
      </c>
      <c r="J419">
        <v>2</v>
      </c>
      <c r="K419" t="s">
        <v>53</v>
      </c>
      <c r="L419" t="s">
        <v>58</v>
      </c>
      <c r="M419" t="s">
        <v>72</v>
      </c>
      <c r="N419" t="s">
        <v>74</v>
      </c>
      <c r="O419">
        <v>3</v>
      </c>
      <c r="P419" t="s">
        <v>45</v>
      </c>
      <c r="Q419" t="s">
        <v>84</v>
      </c>
      <c r="R419" t="s">
        <v>95</v>
      </c>
      <c r="S419" t="s">
        <v>109</v>
      </c>
      <c r="T419" t="s">
        <v>115</v>
      </c>
    </row>
    <row r="420" spans="1:20">
      <c r="A420" t="s">
        <v>21</v>
      </c>
      <c r="B420" t="s">
        <v>28</v>
      </c>
      <c r="C420" t="s">
        <v>35</v>
      </c>
      <c r="D420" t="s">
        <v>45</v>
      </c>
      <c r="E420" s="2">
        <v>46034.09118055556</v>
      </c>
      <c r="F420" s="2">
        <v>46034.09146990741</v>
      </c>
      <c r="G420" t="s">
        <v>50</v>
      </c>
      <c r="H420" t="s">
        <v>51</v>
      </c>
      <c r="I420">
        <v>2</v>
      </c>
      <c r="J420">
        <v>2</v>
      </c>
      <c r="K420" t="s">
        <v>53</v>
      </c>
      <c r="L420" t="s">
        <v>58</v>
      </c>
      <c r="M420" t="s">
        <v>69</v>
      </c>
      <c r="N420" t="s">
        <v>74</v>
      </c>
      <c r="O420">
        <v>25</v>
      </c>
      <c r="P420" t="s">
        <v>45</v>
      </c>
      <c r="Q420" t="s">
        <v>84</v>
      </c>
      <c r="R420" t="s">
        <v>95</v>
      </c>
      <c r="S420" t="s">
        <v>109</v>
      </c>
      <c r="T420" t="s">
        <v>115</v>
      </c>
    </row>
    <row r="421" spans="1:20">
      <c r="A421" t="s">
        <v>21</v>
      </c>
      <c r="B421" t="s">
        <v>28</v>
      </c>
      <c r="C421" t="s">
        <v>35</v>
      </c>
      <c r="D421" t="s">
        <v>45</v>
      </c>
      <c r="E421" s="2">
        <v>46034.09146990741</v>
      </c>
      <c r="F421" s="2">
        <v>46034.09283564815</v>
      </c>
      <c r="G421" t="s">
        <v>50</v>
      </c>
      <c r="H421" t="s">
        <v>51</v>
      </c>
      <c r="I421">
        <v>2</v>
      </c>
      <c r="J421">
        <v>2</v>
      </c>
      <c r="K421" t="s">
        <v>53</v>
      </c>
      <c r="L421" t="s">
        <v>58</v>
      </c>
      <c r="M421" t="s">
        <v>69</v>
      </c>
      <c r="N421" t="s">
        <v>74</v>
      </c>
      <c r="O421">
        <v>118</v>
      </c>
      <c r="P421" t="s">
        <v>45</v>
      </c>
      <c r="Q421" t="s">
        <v>84</v>
      </c>
      <c r="R421" t="s">
        <v>95</v>
      </c>
      <c r="S421" t="s">
        <v>109</v>
      </c>
      <c r="T421" t="s">
        <v>115</v>
      </c>
    </row>
    <row r="422" spans="1:20">
      <c r="A422" t="s">
        <v>21</v>
      </c>
      <c r="B422" t="s">
        <v>28</v>
      </c>
      <c r="C422" t="s">
        <v>35</v>
      </c>
      <c r="D422" t="s">
        <v>45</v>
      </c>
      <c r="E422" s="2">
        <v>46034.09283564815</v>
      </c>
      <c r="F422" s="2">
        <v>46034.09777777778</v>
      </c>
      <c r="G422" t="s">
        <v>50</v>
      </c>
      <c r="H422" t="s">
        <v>51</v>
      </c>
      <c r="I422">
        <v>2</v>
      </c>
      <c r="J422">
        <v>2</v>
      </c>
      <c r="K422" t="s">
        <v>53</v>
      </c>
      <c r="L422" t="s">
        <v>58</v>
      </c>
      <c r="M422" t="s">
        <v>69</v>
      </c>
      <c r="N422" t="s">
        <v>74</v>
      </c>
      <c r="O422">
        <v>427</v>
      </c>
      <c r="P422" t="s">
        <v>45</v>
      </c>
      <c r="Q422" t="s">
        <v>84</v>
      </c>
      <c r="R422" t="s">
        <v>95</v>
      </c>
      <c r="S422" t="s">
        <v>109</v>
      </c>
      <c r="T422" t="s">
        <v>115</v>
      </c>
    </row>
    <row r="423" spans="1:20">
      <c r="A423" t="s">
        <v>25</v>
      </c>
      <c r="B423" t="s">
        <v>32</v>
      </c>
      <c r="C423" t="s">
        <v>37</v>
      </c>
      <c r="E423" s="2">
        <v>46034.09561342592</v>
      </c>
      <c r="F423" s="2">
        <v>46034.09564814815</v>
      </c>
      <c r="G423" t="s">
        <v>50</v>
      </c>
      <c r="H423" t="s">
        <v>51</v>
      </c>
      <c r="I423">
        <v>2</v>
      </c>
      <c r="J423">
        <v>2</v>
      </c>
      <c r="K423" t="s">
        <v>53</v>
      </c>
      <c r="L423" t="s">
        <v>62</v>
      </c>
      <c r="M423" t="s">
        <v>69</v>
      </c>
      <c r="N423" t="s">
        <v>74</v>
      </c>
      <c r="O423">
        <v>3</v>
      </c>
      <c r="P423" t="s">
        <v>81</v>
      </c>
      <c r="Q423" t="s">
        <v>85</v>
      </c>
      <c r="R423" t="s">
        <v>93</v>
      </c>
      <c r="S423" t="s">
        <v>107</v>
      </c>
      <c r="T423" t="s">
        <v>114</v>
      </c>
    </row>
    <row r="424" spans="1:20">
      <c r="A424" t="s">
        <v>25</v>
      </c>
      <c r="B424" t="s">
        <v>32</v>
      </c>
      <c r="C424" t="s">
        <v>37</v>
      </c>
      <c r="E424" s="2">
        <v>46034.09564814815</v>
      </c>
      <c r="F424" s="2">
        <v>46034.09605324074</v>
      </c>
      <c r="G424" t="s">
        <v>50</v>
      </c>
      <c r="H424" t="s">
        <v>51</v>
      </c>
      <c r="I424">
        <v>2</v>
      </c>
      <c r="J424">
        <v>2</v>
      </c>
      <c r="K424" t="s">
        <v>53</v>
      </c>
      <c r="L424" t="s">
        <v>62</v>
      </c>
      <c r="M424" t="s">
        <v>69</v>
      </c>
      <c r="N424" t="s">
        <v>75</v>
      </c>
      <c r="O424">
        <v>35</v>
      </c>
      <c r="P424" t="s">
        <v>81</v>
      </c>
      <c r="Q424" t="s">
        <v>85</v>
      </c>
      <c r="R424" t="s">
        <v>93</v>
      </c>
      <c r="S424" t="s">
        <v>107</v>
      </c>
      <c r="T424" t="s">
        <v>114</v>
      </c>
    </row>
    <row r="425" spans="1:20">
      <c r="A425" t="s">
        <v>25</v>
      </c>
      <c r="B425" t="s">
        <v>32</v>
      </c>
      <c r="C425" t="s">
        <v>37</v>
      </c>
      <c r="E425" s="2">
        <v>46034.09605324074</v>
      </c>
      <c r="F425" s="2">
        <v>46034.09613425926</v>
      </c>
      <c r="G425" t="s">
        <v>50</v>
      </c>
      <c r="H425" t="s">
        <v>51</v>
      </c>
      <c r="I425">
        <v>2</v>
      </c>
      <c r="J425">
        <v>2</v>
      </c>
      <c r="K425" t="s">
        <v>53</v>
      </c>
      <c r="L425" t="s">
        <v>62</v>
      </c>
      <c r="M425" t="s">
        <v>69</v>
      </c>
      <c r="N425" t="s">
        <v>74</v>
      </c>
      <c r="O425">
        <v>7</v>
      </c>
      <c r="P425" t="s">
        <v>81</v>
      </c>
      <c r="Q425" t="s">
        <v>85</v>
      </c>
      <c r="R425" t="s">
        <v>93</v>
      </c>
      <c r="S425" t="s">
        <v>107</v>
      </c>
      <c r="T425" t="s">
        <v>114</v>
      </c>
    </row>
    <row r="426" spans="1:20">
      <c r="A426" t="s">
        <v>25</v>
      </c>
      <c r="B426" t="s">
        <v>32</v>
      </c>
      <c r="C426" t="s">
        <v>39</v>
      </c>
      <c r="E426" s="2">
        <v>46034.09613425926</v>
      </c>
      <c r="F426" s="2">
        <v>46034.09706018519</v>
      </c>
      <c r="G426" t="s">
        <v>50</v>
      </c>
      <c r="H426" t="s">
        <v>51</v>
      </c>
      <c r="I426">
        <v>2</v>
      </c>
      <c r="J426">
        <v>2</v>
      </c>
      <c r="K426" t="s">
        <v>53</v>
      </c>
      <c r="L426" t="s">
        <v>62</v>
      </c>
      <c r="M426" t="s">
        <v>69</v>
      </c>
      <c r="N426" t="s">
        <v>74</v>
      </c>
      <c r="O426">
        <v>80</v>
      </c>
      <c r="P426" t="s">
        <v>81</v>
      </c>
      <c r="Q426" t="s">
        <v>85</v>
      </c>
      <c r="R426" t="s">
        <v>93</v>
      </c>
      <c r="S426" t="s">
        <v>107</v>
      </c>
      <c r="T426" t="s">
        <v>114</v>
      </c>
    </row>
    <row r="427" spans="1:20">
      <c r="A427" t="s">
        <v>25</v>
      </c>
      <c r="B427" t="s">
        <v>32</v>
      </c>
      <c r="C427" t="s">
        <v>37</v>
      </c>
      <c r="E427" s="2">
        <v>46034.09706018519</v>
      </c>
      <c r="F427" s="2">
        <v>46034.09712962963</v>
      </c>
      <c r="G427" t="s">
        <v>50</v>
      </c>
      <c r="H427" t="s">
        <v>51</v>
      </c>
      <c r="I427">
        <v>2</v>
      </c>
      <c r="J427">
        <v>2</v>
      </c>
      <c r="K427" t="s">
        <v>53</v>
      </c>
      <c r="L427" t="s">
        <v>62</v>
      </c>
      <c r="M427" t="s">
        <v>69</v>
      </c>
      <c r="N427" t="s">
        <v>74</v>
      </c>
      <c r="O427">
        <v>6</v>
      </c>
      <c r="P427" t="s">
        <v>81</v>
      </c>
      <c r="Q427" t="s">
        <v>85</v>
      </c>
      <c r="R427" t="s">
        <v>93</v>
      </c>
      <c r="S427" t="s">
        <v>107</v>
      </c>
      <c r="T427" t="s">
        <v>114</v>
      </c>
    </row>
    <row r="428" spans="1:20">
      <c r="A428" t="s">
        <v>25</v>
      </c>
      <c r="B428" t="s">
        <v>32</v>
      </c>
      <c r="C428" t="s">
        <v>37</v>
      </c>
      <c r="E428" s="2">
        <v>46034.09712962963</v>
      </c>
      <c r="F428" s="2">
        <v>46034.09806712963</v>
      </c>
      <c r="G428" t="s">
        <v>50</v>
      </c>
      <c r="H428" t="s">
        <v>51</v>
      </c>
      <c r="I428">
        <v>2</v>
      </c>
      <c r="J428">
        <v>2</v>
      </c>
      <c r="K428" t="s">
        <v>53</v>
      </c>
      <c r="L428" t="s">
        <v>62</v>
      </c>
      <c r="M428" t="s">
        <v>69</v>
      </c>
      <c r="N428" t="s">
        <v>76</v>
      </c>
      <c r="O428">
        <v>81</v>
      </c>
      <c r="P428" t="s">
        <v>81</v>
      </c>
      <c r="Q428" t="s">
        <v>85</v>
      </c>
      <c r="R428" t="s">
        <v>93</v>
      </c>
      <c r="S428" t="s">
        <v>107</v>
      </c>
      <c r="T428" t="s">
        <v>114</v>
      </c>
    </row>
    <row r="429" spans="1:20">
      <c r="A429" t="s">
        <v>21</v>
      </c>
      <c r="B429" t="s">
        <v>28</v>
      </c>
      <c r="C429" t="s">
        <v>35</v>
      </c>
      <c r="D429" t="s">
        <v>45</v>
      </c>
      <c r="E429" s="2">
        <v>46034.09777777778</v>
      </c>
      <c r="F429" s="2">
        <v>46034.10048611111</v>
      </c>
      <c r="G429" t="s">
        <v>50</v>
      </c>
      <c r="H429" t="s">
        <v>51</v>
      </c>
      <c r="I429">
        <v>2</v>
      </c>
      <c r="J429">
        <v>2</v>
      </c>
      <c r="K429" t="s">
        <v>53</v>
      </c>
      <c r="L429" t="s">
        <v>58</v>
      </c>
      <c r="M429" t="s">
        <v>69</v>
      </c>
      <c r="N429" t="s">
        <v>74</v>
      </c>
      <c r="O429">
        <v>234</v>
      </c>
      <c r="P429" t="s">
        <v>45</v>
      </c>
      <c r="Q429" t="s">
        <v>84</v>
      </c>
      <c r="R429" t="s">
        <v>95</v>
      </c>
      <c r="S429" t="s">
        <v>109</v>
      </c>
      <c r="T429" t="s">
        <v>115</v>
      </c>
    </row>
    <row r="430" spans="1:20">
      <c r="A430" t="s">
        <v>20</v>
      </c>
      <c r="B430" t="s">
        <v>27</v>
      </c>
      <c r="C430" t="s">
        <v>38</v>
      </c>
      <c r="E430" s="2">
        <v>46034.09797453704</v>
      </c>
      <c r="F430" s="2">
        <v>46034.0986574074</v>
      </c>
      <c r="G430" t="s">
        <v>50</v>
      </c>
      <c r="H430" t="s">
        <v>51</v>
      </c>
      <c r="I430">
        <v>2</v>
      </c>
      <c r="J430">
        <v>2</v>
      </c>
      <c r="K430" t="s">
        <v>52</v>
      </c>
      <c r="L430" t="s">
        <v>66</v>
      </c>
      <c r="O430">
        <v>59</v>
      </c>
      <c r="P430" t="s">
        <v>79</v>
      </c>
      <c r="Q430" t="s">
        <v>85</v>
      </c>
      <c r="R430" t="s">
        <v>91</v>
      </c>
      <c r="S430" t="s">
        <v>105</v>
      </c>
      <c r="T430" t="s">
        <v>114</v>
      </c>
    </row>
    <row r="431" spans="1:20">
      <c r="A431" t="s">
        <v>25</v>
      </c>
      <c r="B431" t="s">
        <v>32</v>
      </c>
      <c r="C431" t="s">
        <v>37</v>
      </c>
      <c r="E431" s="2">
        <v>46034.09806712963</v>
      </c>
      <c r="F431" s="2">
        <v>46034.09846064815</v>
      </c>
      <c r="G431" t="s">
        <v>50</v>
      </c>
      <c r="H431" t="s">
        <v>51</v>
      </c>
      <c r="I431">
        <v>2</v>
      </c>
      <c r="J431">
        <v>2</v>
      </c>
      <c r="K431" t="s">
        <v>53</v>
      </c>
      <c r="L431" t="s">
        <v>62</v>
      </c>
      <c r="M431" t="s">
        <v>69</v>
      </c>
      <c r="N431" t="s">
        <v>74</v>
      </c>
      <c r="O431">
        <v>34</v>
      </c>
      <c r="P431" t="s">
        <v>81</v>
      </c>
      <c r="Q431" t="s">
        <v>85</v>
      </c>
      <c r="R431" t="s">
        <v>93</v>
      </c>
      <c r="S431" t="s">
        <v>107</v>
      </c>
      <c r="T431" t="s">
        <v>114</v>
      </c>
    </row>
    <row r="432" spans="1:20">
      <c r="A432" t="s">
        <v>25</v>
      </c>
      <c r="B432" t="s">
        <v>32</v>
      </c>
      <c r="C432" t="s">
        <v>38</v>
      </c>
      <c r="E432" s="2">
        <v>46034.09846064815</v>
      </c>
      <c r="F432" s="2">
        <v>46034.125</v>
      </c>
      <c r="G432" t="s">
        <v>50</v>
      </c>
      <c r="H432" t="s">
        <v>51</v>
      </c>
      <c r="I432">
        <v>2</v>
      </c>
      <c r="J432">
        <v>2</v>
      </c>
      <c r="K432" t="s">
        <v>53</v>
      </c>
      <c r="L432" t="s">
        <v>62</v>
      </c>
      <c r="M432" t="s">
        <v>69</v>
      </c>
      <c r="N432" t="s">
        <v>74</v>
      </c>
      <c r="O432">
        <v>2293</v>
      </c>
      <c r="P432" t="s">
        <v>79</v>
      </c>
      <c r="Q432" t="s">
        <v>85</v>
      </c>
      <c r="R432" t="s">
        <v>91</v>
      </c>
      <c r="S432" t="s">
        <v>105</v>
      </c>
      <c r="T432" t="s">
        <v>114</v>
      </c>
    </row>
    <row r="433" spans="1:20">
      <c r="A433" t="s">
        <v>20</v>
      </c>
      <c r="B433" t="s">
        <v>27</v>
      </c>
      <c r="C433" t="s">
        <v>39</v>
      </c>
      <c r="E433" s="2">
        <v>46034.0986574074</v>
      </c>
      <c r="F433" s="2">
        <v>46034.1028125</v>
      </c>
      <c r="G433" t="s">
        <v>50</v>
      </c>
      <c r="H433" t="s">
        <v>51</v>
      </c>
      <c r="I433">
        <v>2</v>
      </c>
      <c r="J433">
        <v>2</v>
      </c>
      <c r="K433" t="s">
        <v>52</v>
      </c>
      <c r="L433" t="s">
        <v>66</v>
      </c>
      <c r="O433">
        <v>359</v>
      </c>
      <c r="P433" t="s">
        <v>81</v>
      </c>
      <c r="Q433" t="s">
        <v>85</v>
      </c>
      <c r="R433" t="s">
        <v>93</v>
      </c>
      <c r="S433" t="s">
        <v>107</v>
      </c>
      <c r="T433" t="s">
        <v>114</v>
      </c>
    </row>
    <row r="434" spans="1:20">
      <c r="A434" t="s">
        <v>21</v>
      </c>
      <c r="B434" t="s">
        <v>28</v>
      </c>
      <c r="C434" t="s">
        <v>35</v>
      </c>
      <c r="D434" t="s">
        <v>45</v>
      </c>
      <c r="E434" s="2">
        <v>46034.10048611111</v>
      </c>
      <c r="F434" s="2">
        <v>46034.10077546296</v>
      </c>
      <c r="G434" t="s">
        <v>50</v>
      </c>
      <c r="H434" t="s">
        <v>51</v>
      </c>
      <c r="I434">
        <v>2</v>
      </c>
      <c r="J434">
        <v>2</v>
      </c>
      <c r="K434" t="s">
        <v>53</v>
      </c>
      <c r="L434" t="s">
        <v>58</v>
      </c>
      <c r="M434" t="s">
        <v>69</v>
      </c>
      <c r="N434" t="s">
        <v>75</v>
      </c>
      <c r="O434">
        <v>25</v>
      </c>
      <c r="P434" t="s">
        <v>45</v>
      </c>
      <c r="Q434" t="s">
        <v>84</v>
      </c>
      <c r="R434" t="s">
        <v>95</v>
      </c>
      <c r="S434" t="s">
        <v>109</v>
      </c>
      <c r="T434" t="s">
        <v>115</v>
      </c>
    </row>
    <row r="435" spans="1:20">
      <c r="A435" t="s">
        <v>21</v>
      </c>
      <c r="B435" t="s">
        <v>28</v>
      </c>
      <c r="C435" t="s">
        <v>35</v>
      </c>
      <c r="D435" t="s">
        <v>45</v>
      </c>
      <c r="E435" s="2">
        <v>46034.10077546296</v>
      </c>
      <c r="F435" s="2">
        <v>46034.10103009259</v>
      </c>
      <c r="G435" t="s">
        <v>50</v>
      </c>
      <c r="H435" t="s">
        <v>51</v>
      </c>
      <c r="I435">
        <v>2</v>
      </c>
      <c r="J435">
        <v>2</v>
      </c>
      <c r="K435" t="s">
        <v>53</v>
      </c>
      <c r="L435" t="s">
        <v>58</v>
      </c>
      <c r="M435" t="s">
        <v>69</v>
      </c>
      <c r="N435" t="s">
        <v>74</v>
      </c>
      <c r="O435">
        <v>22</v>
      </c>
      <c r="P435" t="s">
        <v>45</v>
      </c>
      <c r="Q435" t="s">
        <v>84</v>
      </c>
      <c r="R435" t="s">
        <v>95</v>
      </c>
      <c r="S435" t="s">
        <v>109</v>
      </c>
      <c r="T435" t="s">
        <v>115</v>
      </c>
    </row>
    <row r="436" spans="1:20">
      <c r="A436" t="s">
        <v>21</v>
      </c>
      <c r="B436" t="s">
        <v>28</v>
      </c>
      <c r="C436" t="s">
        <v>35</v>
      </c>
      <c r="D436" t="s">
        <v>45</v>
      </c>
      <c r="E436" s="2">
        <v>46034.10103009259</v>
      </c>
      <c r="F436" s="2">
        <v>46034.10200231482</v>
      </c>
      <c r="G436" t="s">
        <v>50</v>
      </c>
      <c r="H436" t="s">
        <v>51</v>
      </c>
      <c r="I436">
        <v>2</v>
      </c>
      <c r="J436">
        <v>2</v>
      </c>
      <c r="K436" t="s">
        <v>53</v>
      </c>
      <c r="L436" t="s">
        <v>58</v>
      </c>
      <c r="M436" t="s">
        <v>69</v>
      </c>
      <c r="N436" t="s">
        <v>74</v>
      </c>
      <c r="O436">
        <v>84</v>
      </c>
      <c r="P436" t="s">
        <v>45</v>
      </c>
      <c r="Q436" t="s">
        <v>84</v>
      </c>
      <c r="R436" t="s">
        <v>95</v>
      </c>
      <c r="S436" t="s">
        <v>109</v>
      </c>
      <c r="T436" t="s">
        <v>115</v>
      </c>
    </row>
    <row r="437" spans="1:20">
      <c r="A437" t="s">
        <v>23</v>
      </c>
      <c r="B437" t="s">
        <v>30</v>
      </c>
      <c r="C437" t="s">
        <v>38</v>
      </c>
      <c r="E437" s="2">
        <v>46034.10128472222</v>
      </c>
      <c r="F437" s="2">
        <v>46034.10202546296</v>
      </c>
      <c r="G437" t="s">
        <v>50</v>
      </c>
      <c r="H437" t="s">
        <v>51</v>
      </c>
      <c r="I437">
        <v>2</v>
      </c>
      <c r="J437">
        <v>2</v>
      </c>
      <c r="K437" t="s">
        <v>55</v>
      </c>
      <c r="L437" t="s">
        <v>65</v>
      </c>
      <c r="M437" t="s">
        <v>69</v>
      </c>
      <c r="N437" t="s">
        <v>74</v>
      </c>
      <c r="O437">
        <v>64</v>
      </c>
      <c r="P437" t="s">
        <v>79</v>
      </c>
      <c r="Q437" t="s">
        <v>85</v>
      </c>
      <c r="R437" t="s">
        <v>91</v>
      </c>
      <c r="S437" t="s">
        <v>105</v>
      </c>
      <c r="T437" t="s">
        <v>114</v>
      </c>
    </row>
    <row r="438" spans="1:20">
      <c r="A438" t="s">
        <v>24</v>
      </c>
      <c r="B438" t="s">
        <v>31</v>
      </c>
      <c r="C438" t="s">
        <v>38</v>
      </c>
      <c r="E438" s="2">
        <v>46034.10190972222</v>
      </c>
      <c r="F438" s="2">
        <v>46034.10402777778</v>
      </c>
      <c r="G438" t="s">
        <v>50</v>
      </c>
      <c r="H438" t="s">
        <v>51</v>
      </c>
      <c r="I438">
        <v>2</v>
      </c>
      <c r="J438">
        <v>2</v>
      </c>
      <c r="K438" t="s">
        <v>56</v>
      </c>
      <c r="L438" t="s">
        <v>67</v>
      </c>
      <c r="N438" t="s">
        <v>74</v>
      </c>
      <c r="O438">
        <v>183</v>
      </c>
      <c r="P438" t="s">
        <v>79</v>
      </c>
      <c r="Q438" t="s">
        <v>85</v>
      </c>
      <c r="R438" t="s">
        <v>91</v>
      </c>
      <c r="S438" t="s">
        <v>105</v>
      </c>
      <c r="T438" t="s">
        <v>114</v>
      </c>
    </row>
    <row r="439" spans="1:20">
      <c r="A439" t="s">
        <v>21</v>
      </c>
      <c r="B439" t="s">
        <v>28</v>
      </c>
      <c r="C439" t="s">
        <v>35</v>
      </c>
      <c r="D439" t="s">
        <v>45</v>
      </c>
      <c r="E439" s="2">
        <v>46034.10200231482</v>
      </c>
      <c r="F439" s="2">
        <v>46034.10216435185</v>
      </c>
      <c r="G439" t="s">
        <v>50</v>
      </c>
      <c r="H439" t="s">
        <v>51</v>
      </c>
      <c r="I439">
        <v>2</v>
      </c>
      <c r="J439">
        <v>2</v>
      </c>
      <c r="K439" t="s">
        <v>53</v>
      </c>
      <c r="L439" t="s">
        <v>58</v>
      </c>
      <c r="M439" t="s">
        <v>69</v>
      </c>
      <c r="N439" t="s">
        <v>74</v>
      </c>
      <c r="O439">
        <v>14</v>
      </c>
      <c r="P439" t="s">
        <v>45</v>
      </c>
      <c r="Q439" t="s">
        <v>84</v>
      </c>
      <c r="R439" t="s">
        <v>95</v>
      </c>
      <c r="S439" t="s">
        <v>109</v>
      </c>
      <c r="T439" t="s">
        <v>115</v>
      </c>
    </row>
    <row r="440" spans="1:20">
      <c r="A440" t="s">
        <v>23</v>
      </c>
      <c r="B440" t="s">
        <v>30</v>
      </c>
      <c r="C440" t="s">
        <v>37</v>
      </c>
      <c r="E440" s="2">
        <v>46034.10202546296</v>
      </c>
      <c r="F440" s="2">
        <v>46034.10204861111</v>
      </c>
      <c r="G440" t="s">
        <v>50</v>
      </c>
      <c r="H440" t="s">
        <v>51</v>
      </c>
      <c r="I440">
        <v>2</v>
      </c>
      <c r="J440">
        <v>2</v>
      </c>
      <c r="K440" t="s">
        <v>55</v>
      </c>
      <c r="L440" t="s">
        <v>65</v>
      </c>
      <c r="M440" t="s">
        <v>69</v>
      </c>
      <c r="N440" t="s">
        <v>74</v>
      </c>
      <c r="O440">
        <v>2</v>
      </c>
      <c r="P440" t="s">
        <v>81</v>
      </c>
      <c r="Q440" t="s">
        <v>85</v>
      </c>
      <c r="R440" t="s">
        <v>93</v>
      </c>
      <c r="S440" t="s">
        <v>107</v>
      </c>
      <c r="T440" t="s">
        <v>114</v>
      </c>
    </row>
    <row r="441" spans="1:20">
      <c r="A441" t="s">
        <v>23</v>
      </c>
      <c r="B441" t="s">
        <v>30</v>
      </c>
      <c r="C441" t="s">
        <v>37</v>
      </c>
      <c r="E441" s="2">
        <v>46034.10204861111</v>
      </c>
      <c r="F441" s="2">
        <v>46034.10226851852</v>
      </c>
      <c r="G441" t="s">
        <v>50</v>
      </c>
      <c r="H441" t="s">
        <v>51</v>
      </c>
      <c r="I441">
        <v>2</v>
      </c>
      <c r="J441">
        <v>2</v>
      </c>
      <c r="K441" t="s">
        <v>55</v>
      </c>
      <c r="L441" t="s">
        <v>65</v>
      </c>
      <c r="M441" t="s">
        <v>69</v>
      </c>
      <c r="N441" t="s">
        <v>75</v>
      </c>
      <c r="O441">
        <v>19</v>
      </c>
      <c r="P441" t="s">
        <v>81</v>
      </c>
      <c r="Q441" t="s">
        <v>85</v>
      </c>
      <c r="R441" t="s">
        <v>93</v>
      </c>
      <c r="S441" t="s">
        <v>107</v>
      </c>
      <c r="T441" t="s">
        <v>114</v>
      </c>
    </row>
    <row r="442" spans="1:20">
      <c r="A442" t="s">
        <v>21</v>
      </c>
      <c r="B442" t="s">
        <v>28</v>
      </c>
      <c r="C442" t="s">
        <v>35</v>
      </c>
      <c r="D442" t="s">
        <v>45</v>
      </c>
      <c r="E442" s="2">
        <v>46034.10216435185</v>
      </c>
      <c r="F442" s="2">
        <v>46034.10444444444</v>
      </c>
      <c r="G442" t="s">
        <v>50</v>
      </c>
      <c r="H442" t="s">
        <v>51</v>
      </c>
      <c r="I442">
        <v>2</v>
      </c>
      <c r="J442">
        <v>2</v>
      </c>
      <c r="K442" t="s">
        <v>53</v>
      </c>
      <c r="L442" t="s">
        <v>58</v>
      </c>
      <c r="M442" t="s">
        <v>69</v>
      </c>
      <c r="N442" t="s">
        <v>74</v>
      </c>
      <c r="O442">
        <v>197</v>
      </c>
      <c r="P442" t="s">
        <v>45</v>
      </c>
      <c r="Q442" t="s">
        <v>84</v>
      </c>
      <c r="R442" t="s">
        <v>95</v>
      </c>
      <c r="S442" t="s">
        <v>109</v>
      </c>
      <c r="T442" t="s">
        <v>115</v>
      </c>
    </row>
    <row r="443" spans="1:20">
      <c r="A443" t="s">
        <v>23</v>
      </c>
      <c r="B443" t="s">
        <v>30</v>
      </c>
      <c r="C443" t="s">
        <v>37</v>
      </c>
      <c r="E443" s="2">
        <v>46034.10226851852</v>
      </c>
      <c r="F443" s="2">
        <v>46034.10228009259</v>
      </c>
      <c r="G443" t="s">
        <v>50</v>
      </c>
      <c r="H443" t="s">
        <v>51</v>
      </c>
      <c r="I443">
        <v>2</v>
      </c>
      <c r="J443">
        <v>2</v>
      </c>
      <c r="K443" t="s">
        <v>55</v>
      </c>
      <c r="L443" t="s">
        <v>65</v>
      </c>
      <c r="M443" t="s">
        <v>69</v>
      </c>
      <c r="N443" t="s">
        <v>74</v>
      </c>
      <c r="O443">
        <v>1</v>
      </c>
      <c r="P443" t="s">
        <v>81</v>
      </c>
      <c r="Q443" t="s">
        <v>85</v>
      </c>
      <c r="R443" t="s">
        <v>93</v>
      </c>
      <c r="S443" t="s">
        <v>107</v>
      </c>
      <c r="T443" t="s">
        <v>114</v>
      </c>
    </row>
    <row r="444" spans="1:20">
      <c r="A444" t="s">
        <v>23</v>
      </c>
      <c r="B444" t="s">
        <v>30</v>
      </c>
      <c r="C444" t="s">
        <v>39</v>
      </c>
      <c r="E444" s="2">
        <v>46034.10228009259</v>
      </c>
      <c r="F444" s="2">
        <v>46034.10306712963</v>
      </c>
      <c r="G444" t="s">
        <v>50</v>
      </c>
      <c r="H444" t="s">
        <v>51</v>
      </c>
      <c r="I444">
        <v>2</v>
      </c>
      <c r="J444">
        <v>2</v>
      </c>
      <c r="K444" t="s">
        <v>55</v>
      </c>
      <c r="L444" t="s">
        <v>65</v>
      </c>
      <c r="M444" t="s">
        <v>69</v>
      </c>
      <c r="N444" t="s">
        <v>74</v>
      </c>
      <c r="O444">
        <v>68</v>
      </c>
      <c r="P444" t="s">
        <v>81</v>
      </c>
      <c r="Q444" t="s">
        <v>85</v>
      </c>
      <c r="R444" t="s">
        <v>93</v>
      </c>
      <c r="S444" t="s">
        <v>107</v>
      </c>
      <c r="T444" t="s">
        <v>114</v>
      </c>
    </row>
    <row r="445" spans="1:20">
      <c r="A445" t="s">
        <v>20</v>
      </c>
      <c r="B445" t="s">
        <v>27</v>
      </c>
      <c r="C445" t="s">
        <v>38</v>
      </c>
      <c r="E445" s="2">
        <v>46034.1028125</v>
      </c>
      <c r="F445" s="2">
        <v>46034.10344907407</v>
      </c>
      <c r="G445" t="s">
        <v>50</v>
      </c>
      <c r="H445" t="s">
        <v>51</v>
      </c>
      <c r="I445">
        <v>2</v>
      </c>
      <c r="J445">
        <v>2</v>
      </c>
      <c r="K445" t="s">
        <v>52</v>
      </c>
      <c r="L445" t="s">
        <v>66</v>
      </c>
      <c r="O445">
        <v>55</v>
      </c>
      <c r="P445" t="s">
        <v>79</v>
      </c>
      <c r="Q445" t="s">
        <v>85</v>
      </c>
      <c r="R445" t="s">
        <v>91</v>
      </c>
      <c r="S445" t="s">
        <v>105</v>
      </c>
      <c r="T445" t="s">
        <v>114</v>
      </c>
    </row>
    <row r="446" spans="1:20">
      <c r="A446" t="s">
        <v>23</v>
      </c>
      <c r="B446" t="s">
        <v>30</v>
      </c>
      <c r="C446" t="s">
        <v>37</v>
      </c>
      <c r="E446" s="2">
        <v>46034.10306712963</v>
      </c>
      <c r="F446" s="2">
        <v>46034.10398148148</v>
      </c>
      <c r="G446" t="s">
        <v>50</v>
      </c>
      <c r="H446" t="s">
        <v>51</v>
      </c>
      <c r="I446">
        <v>2</v>
      </c>
      <c r="J446">
        <v>2</v>
      </c>
      <c r="K446" t="s">
        <v>55</v>
      </c>
      <c r="L446" t="s">
        <v>65</v>
      </c>
      <c r="M446" t="s">
        <v>69</v>
      </c>
      <c r="N446" t="s">
        <v>74</v>
      </c>
      <c r="O446">
        <v>79</v>
      </c>
      <c r="P446" t="s">
        <v>81</v>
      </c>
      <c r="Q446" t="s">
        <v>85</v>
      </c>
      <c r="R446" t="s">
        <v>93</v>
      </c>
      <c r="S446" t="s">
        <v>107</v>
      </c>
      <c r="T446" t="s">
        <v>114</v>
      </c>
    </row>
    <row r="447" spans="1:20">
      <c r="A447" t="s">
        <v>20</v>
      </c>
      <c r="B447" t="s">
        <v>27</v>
      </c>
      <c r="C447" t="s">
        <v>36</v>
      </c>
      <c r="E447" s="2">
        <v>46034.10344907407</v>
      </c>
      <c r="F447" s="2">
        <v>46034.11236111111</v>
      </c>
      <c r="G447" t="s">
        <v>50</v>
      </c>
      <c r="H447" t="s">
        <v>51</v>
      </c>
      <c r="I447">
        <v>2</v>
      </c>
      <c r="J447">
        <v>2</v>
      </c>
      <c r="K447" t="s">
        <v>52</v>
      </c>
      <c r="L447" t="s">
        <v>66</v>
      </c>
      <c r="O447">
        <v>770</v>
      </c>
      <c r="P447" t="s">
        <v>79</v>
      </c>
      <c r="Q447" t="s">
        <v>85</v>
      </c>
      <c r="R447" t="s">
        <v>91</v>
      </c>
      <c r="S447" t="s">
        <v>105</v>
      </c>
      <c r="T447" t="s">
        <v>114</v>
      </c>
    </row>
    <row r="448" spans="1:20">
      <c r="A448" t="s">
        <v>23</v>
      </c>
      <c r="B448" t="s">
        <v>30</v>
      </c>
      <c r="C448" t="s">
        <v>38</v>
      </c>
      <c r="E448" s="2">
        <v>46034.10398148148</v>
      </c>
      <c r="F448" s="2">
        <v>46034.10413194444</v>
      </c>
      <c r="G448" t="s">
        <v>50</v>
      </c>
      <c r="H448" t="s">
        <v>51</v>
      </c>
      <c r="I448">
        <v>2</v>
      </c>
      <c r="J448">
        <v>2</v>
      </c>
      <c r="K448" t="s">
        <v>55</v>
      </c>
      <c r="L448" t="s">
        <v>65</v>
      </c>
      <c r="M448" t="s">
        <v>69</v>
      </c>
      <c r="N448" t="s">
        <v>74</v>
      </c>
      <c r="O448">
        <v>13</v>
      </c>
      <c r="P448" t="s">
        <v>79</v>
      </c>
      <c r="Q448" t="s">
        <v>85</v>
      </c>
      <c r="R448" t="s">
        <v>91</v>
      </c>
      <c r="S448" t="s">
        <v>105</v>
      </c>
      <c r="T448" t="s">
        <v>114</v>
      </c>
    </row>
    <row r="449" spans="1:20">
      <c r="A449" t="s">
        <v>24</v>
      </c>
      <c r="B449" t="s">
        <v>31</v>
      </c>
      <c r="C449" t="s">
        <v>37</v>
      </c>
      <c r="E449" s="2">
        <v>46034.10402777778</v>
      </c>
      <c r="F449" s="2">
        <v>46034.1044675926</v>
      </c>
      <c r="G449" t="s">
        <v>50</v>
      </c>
      <c r="H449" t="s">
        <v>51</v>
      </c>
      <c r="I449">
        <v>2</v>
      </c>
      <c r="J449">
        <v>2</v>
      </c>
      <c r="K449" t="s">
        <v>56</v>
      </c>
      <c r="L449" t="s">
        <v>67</v>
      </c>
      <c r="N449" t="s">
        <v>75</v>
      </c>
      <c r="O449">
        <v>38</v>
      </c>
      <c r="P449" t="s">
        <v>81</v>
      </c>
      <c r="Q449" t="s">
        <v>85</v>
      </c>
      <c r="R449" t="s">
        <v>93</v>
      </c>
      <c r="S449" t="s">
        <v>107</v>
      </c>
      <c r="T449" t="s">
        <v>114</v>
      </c>
    </row>
    <row r="450" spans="1:20">
      <c r="A450" t="s">
        <v>23</v>
      </c>
      <c r="B450" t="s">
        <v>30</v>
      </c>
      <c r="C450" t="s">
        <v>36</v>
      </c>
      <c r="E450" s="2">
        <v>46034.10413194444</v>
      </c>
      <c r="F450" s="2">
        <v>46034.125</v>
      </c>
      <c r="G450" t="s">
        <v>50</v>
      </c>
      <c r="H450" t="s">
        <v>51</v>
      </c>
      <c r="I450">
        <v>2</v>
      </c>
      <c r="J450">
        <v>2</v>
      </c>
      <c r="K450" t="s">
        <v>55</v>
      </c>
      <c r="L450" t="s">
        <v>65</v>
      </c>
      <c r="M450" t="s">
        <v>69</v>
      </c>
      <c r="N450" t="s">
        <v>74</v>
      </c>
      <c r="O450">
        <v>1803</v>
      </c>
      <c r="P450" t="s">
        <v>79</v>
      </c>
      <c r="Q450" t="s">
        <v>85</v>
      </c>
      <c r="R450" t="s">
        <v>91</v>
      </c>
      <c r="S450" t="s">
        <v>105</v>
      </c>
      <c r="T450" t="s">
        <v>114</v>
      </c>
    </row>
    <row r="451" spans="1:20">
      <c r="A451" t="s">
        <v>21</v>
      </c>
      <c r="B451" t="s">
        <v>28</v>
      </c>
      <c r="C451" t="s">
        <v>35</v>
      </c>
      <c r="D451" t="s">
        <v>45</v>
      </c>
      <c r="E451" s="2">
        <v>46034.10444444444</v>
      </c>
      <c r="F451" s="2">
        <v>46034.10471064815</v>
      </c>
      <c r="G451" t="s">
        <v>50</v>
      </c>
      <c r="H451" t="s">
        <v>51</v>
      </c>
      <c r="I451">
        <v>2</v>
      </c>
      <c r="J451">
        <v>2</v>
      </c>
      <c r="K451" t="s">
        <v>53</v>
      </c>
      <c r="L451" t="s">
        <v>58</v>
      </c>
      <c r="M451" t="s">
        <v>69</v>
      </c>
      <c r="N451" t="s">
        <v>74</v>
      </c>
      <c r="O451">
        <v>23</v>
      </c>
      <c r="P451" t="s">
        <v>45</v>
      </c>
      <c r="Q451" t="s">
        <v>84</v>
      </c>
      <c r="R451" t="s">
        <v>95</v>
      </c>
      <c r="S451" t="s">
        <v>109</v>
      </c>
      <c r="T451" t="s">
        <v>115</v>
      </c>
    </row>
    <row r="452" spans="1:20">
      <c r="A452" t="s">
        <v>24</v>
      </c>
      <c r="B452" t="s">
        <v>31</v>
      </c>
      <c r="C452" t="s">
        <v>37</v>
      </c>
      <c r="E452" s="2">
        <v>46034.1044675926</v>
      </c>
      <c r="F452" s="2">
        <v>46034.10452546296</v>
      </c>
      <c r="G452" t="s">
        <v>50</v>
      </c>
      <c r="H452" t="s">
        <v>51</v>
      </c>
      <c r="I452">
        <v>2</v>
      </c>
      <c r="J452">
        <v>2</v>
      </c>
      <c r="K452" t="s">
        <v>56</v>
      </c>
      <c r="L452" t="s">
        <v>67</v>
      </c>
      <c r="N452" t="s">
        <v>74</v>
      </c>
      <c r="O452">
        <v>5</v>
      </c>
      <c r="P452" t="s">
        <v>81</v>
      </c>
      <c r="Q452" t="s">
        <v>85</v>
      </c>
      <c r="R452" t="s">
        <v>93</v>
      </c>
      <c r="S452" t="s">
        <v>107</v>
      </c>
      <c r="T452" t="s">
        <v>114</v>
      </c>
    </row>
    <row r="453" spans="1:20">
      <c r="A453" t="s">
        <v>24</v>
      </c>
      <c r="B453" t="s">
        <v>31</v>
      </c>
      <c r="C453" t="s">
        <v>39</v>
      </c>
      <c r="E453" s="2">
        <v>46034.10452546296</v>
      </c>
      <c r="F453" s="2">
        <v>46034.105</v>
      </c>
      <c r="G453" t="s">
        <v>50</v>
      </c>
      <c r="H453" t="s">
        <v>51</v>
      </c>
      <c r="I453">
        <v>2</v>
      </c>
      <c r="J453">
        <v>2</v>
      </c>
      <c r="K453" t="s">
        <v>56</v>
      </c>
      <c r="L453" t="s">
        <v>67</v>
      </c>
      <c r="N453" t="s">
        <v>74</v>
      </c>
      <c r="O453">
        <v>41</v>
      </c>
      <c r="P453" t="s">
        <v>81</v>
      </c>
      <c r="Q453" t="s">
        <v>85</v>
      </c>
      <c r="R453" t="s">
        <v>93</v>
      </c>
      <c r="S453" t="s">
        <v>107</v>
      </c>
      <c r="T453" t="s">
        <v>114</v>
      </c>
    </row>
    <row r="454" spans="1:20">
      <c r="A454" t="s">
        <v>21</v>
      </c>
      <c r="B454" t="s">
        <v>28</v>
      </c>
      <c r="C454" t="s">
        <v>35</v>
      </c>
      <c r="D454" t="s">
        <v>45</v>
      </c>
      <c r="E454" s="2">
        <v>46034.10471064815</v>
      </c>
      <c r="F454" s="2">
        <v>46034.10519675926</v>
      </c>
      <c r="G454" t="s">
        <v>50</v>
      </c>
      <c r="H454" t="s">
        <v>51</v>
      </c>
      <c r="I454">
        <v>2</v>
      </c>
      <c r="J454">
        <v>2</v>
      </c>
      <c r="K454" t="s">
        <v>53</v>
      </c>
      <c r="L454" t="s">
        <v>58</v>
      </c>
      <c r="M454" t="s">
        <v>69</v>
      </c>
      <c r="N454" t="s">
        <v>76</v>
      </c>
      <c r="O454">
        <v>42</v>
      </c>
      <c r="P454" t="s">
        <v>45</v>
      </c>
      <c r="Q454" t="s">
        <v>84</v>
      </c>
      <c r="R454" t="s">
        <v>95</v>
      </c>
      <c r="S454" t="s">
        <v>109</v>
      </c>
      <c r="T454" t="s">
        <v>115</v>
      </c>
    </row>
    <row r="455" spans="1:20">
      <c r="A455" t="s">
        <v>24</v>
      </c>
      <c r="B455" t="s">
        <v>31</v>
      </c>
      <c r="C455" t="s">
        <v>37</v>
      </c>
      <c r="E455" s="2">
        <v>46034.105</v>
      </c>
      <c r="F455" s="2">
        <v>46034.10506944444</v>
      </c>
      <c r="G455" t="s">
        <v>50</v>
      </c>
      <c r="H455" t="s">
        <v>51</v>
      </c>
      <c r="I455">
        <v>2</v>
      </c>
      <c r="J455">
        <v>2</v>
      </c>
      <c r="K455" t="s">
        <v>56</v>
      </c>
      <c r="L455" t="s">
        <v>67</v>
      </c>
      <c r="N455" t="s">
        <v>74</v>
      </c>
      <c r="O455">
        <v>6</v>
      </c>
      <c r="P455" t="s">
        <v>81</v>
      </c>
      <c r="Q455" t="s">
        <v>85</v>
      </c>
      <c r="R455" t="s">
        <v>93</v>
      </c>
      <c r="S455" t="s">
        <v>107</v>
      </c>
      <c r="T455" t="s">
        <v>114</v>
      </c>
    </row>
    <row r="456" spans="1:20">
      <c r="A456" t="s">
        <v>24</v>
      </c>
      <c r="B456" t="s">
        <v>31</v>
      </c>
      <c r="C456" t="s">
        <v>37</v>
      </c>
      <c r="E456" s="2">
        <v>46034.10506944444</v>
      </c>
      <c r="F456" s="2">
        <v>46034.1053587963</v>
      </c>
      <c r="G456" t="s">
        <v>50</v>
      </c>
      <c r="H456" t="s">
        <v>51</v>
      </c>
      <c r="I456">
        <v>2</v>
      </c>
      <c r="J456">
        <v>2</v>
      </c>
      <c r="K456" t="s">
        <v>56</v>
      </c>
      <c r="L456" t="s">
        <v>67</v>
      </c>
      <c r="N456" t="s">
        <v>76</v>
      </c>
      <c r="O456">
        <v>25</v>
      </c>
      <c r="P456" t="s">
        <v>81</v>
      </c>
      <c r="Q456" t="s">
        <v>85</v>
      </c>
      <c r="R456" t="s">
        <v>93</v>
      </c>
      <c r="S456" t="s">
        <v>107</v>
      </c>
      <c r="T456" t="s">
        <v>114</v>
      </c>
    </row>
    <row r="457" spans="1:20">
      <c r="A457" t="s">
        <v>21</v>
      </c>
      <c r="B457" t="s">
        <v>28</v>
      </c>
      <c r="C457" t="s">
        <v>35</v>
      </c>
      <c r="D457" t="s">
        <v>45</v>
      </c>
      <c r="E457" s="2">
        <v>46034.10519675926</v>
      </c>
      <c r="F457" s="2">
        <v>46034.10608796297</v>
      </c>
      <c r="G457" t="s">
        <v>50</v>
      </c>
      <c r="H457" t="s">
        <v>51</v>
      </c>
      <c r="I457">
        <v>2</v>
      </c>
      <c r="J457">
        <v>2</v>
      </c>
      <c r="K457" t="s">
        <v>53</v>
      </c>
      <c r="L457" t="s">
        <v>58</v>
      </c>
      <c r="M457" t="s">
        <v>69</v>
      </c>
      <c r="N457" t="s">
        <v>74</v>
      </c>
      <c r="O457">
        <v>77</v>
      </c>
      <c r="P457" t="s">
        <v>45</v>
      </c>
      <c r="Q457" t="s">
        <v>84</v>
      </c>
      <c r="R457" t="s">
        <v>95</v>
      </c>
      <c r="S457" t="s">
        <v>109</v>
      </c>
      <c r="T457" t="s">
        <v>115</v>
      </c>
    </row>
    <row r="458" spans="1:20">
      <c r="A458" t="s">
        <v>24</v>
      </c>
      <c r="B458" t="s">
        <v>31</v>
      </c>
      <c r="C458" t="s">
        <v>37</v>
      </c>
      <c r="E458" s="2">
        <v>46034.1053587963</v>
      </c>
      <c r="F458" s="2">
        <v>46034.10600694444</v>
      </c>
      <c r="G458" t="s">
        <v>50</v>
      </c>
      <c r="H458" t="s">
        <v>51</v>
      </c>
      <c r="I458">
        <v>2</v>
      </c>
      <c r="J458">
        <v>2</v>
      </c>
      <c r="K458" t="s">
        <v>56</v>
      </c>
      <c r="L458" t="s">
        <v>67</v>
      </c>
      <c r="N458" t="s">
        <v>74</v>
      </c>
      <c r="O458">
        <v>56</v>
      </c>
      <c r="P458" t="s">
        <v>81</v>
      </c>
      <c r="Q458" t="s">
        <v>85</v>
      </c>
      <c r="R458" t="s">
        <v>93</v>
      </c>
      <c r="S458" t="s">
        <v>107</v>
      </c>
      <c r="T458" t="s">
        <v>114</v>
      </c>
    </row>
    <row r="459" spans="1:20">
      <c r="A459" t="s">
        <v>24</v>
      </c>
      <c r="B459" t="s">
        <v>31</v>
      </c>
      <c r="C459" t="s">
        <v>38</v>
      </c>
      <c r="E459" s="2">
        <v>46034.10600694444</v>
      </c>
      <c r="F459" s="2">
        <v>46034.1062037037</v>
      </c>
      <c r="G459" t="s">
        <v>50</v>
      </c>
      <c r="H459" t="s">
        <v>51</v>
      </c>
      <c r="I459">
        <v>2</v>
      </c>
      <c r="J459">
        <v>2</v>
      </c>
      <c r="K459" t="s">
        <v>56</v>
      </c>
      <c r="L459" t="s">
        <v>67</v>
      </c>
      <c r="N459" t="s">
        <v>74</v>
      </c>
      <c r="O459">
        <v>17</v>
      </c>
      <c r="P459" t="s">
        <v>79</v>
      </c>
      <c r="Q459" t="s">
        <v>85</v>
      </c>
      <c r="R459" t="s">
        <v>91</v>
      </c>
      <c r="S459" t="s">
        <v>105</v>
      </c>
      <c r="T459" t="s">
        <v>114</v>
      </c>
    </row>
    <row r="460" spans="1:20">
      <c r="A460" t="s">
        <v>21</v>
      </c>
      <c r="B460" t="s">
        <v>28</v>
      </c>
      <c r="C460" t="s">
        <v>35</v>
      </c>
      <c r="D460" t="s">
        <v>45</v>
      </c>
      <c r="E460" s="2">
        <v>46034.10608796297</v>
      </c>
      <c r="F460" s="2">
        <v>46034.11355324074</v>
      </c>
      <c r="G460" t="s">
        <v>50</v>
      </c>
      <c r="H460" t="s">
        <v>51</v>
      </c>
      <c r="I460">
        <v>2</v>
      </c>
      <c r="J460">
        <v>2</v>
      </c>
      <c r="K460" t="s">
        <v>53</v>
      </c>
      <c r="L460" t="s">
        <v>58</v>
      </c>
      <c r="M460" t="s">
        <v>69</v>
      </c>
      <c r="N460" t="s">
        <v>74</v>
      </c>
      <c r="O460">
        <v>645</v>
      </c>
      <c r="P460" t="s">
        <v>45</v>
      </c>
      <c r="Q460" t="s">
        <v>84</v>
      </c>
      <c r="R460" t="s">
        <v>95</v>
      </c>
      <c r="S460" t="s">
        <v>109</v>
      </c>
      <c r="T460" t="s">
        <v>115</v>
      </c>
    </row>
    <row r="461" spans="1:20">
      <c r="A461" t="s">
        <v>24</v>
      </c>
      <c r="B461" t="s">
        <v>31</v>
      </c>
      <c r="C461" t="s">
        <v>36</v>
      </c>
      <c r="E461" s="2">
        <v>46034.1062037037</v>
      </c>
      <c r="F461" s="2">
        <v>46034.125</v>
      </c>
      <c r="G461" t="s">
        <v>50</v>
      </c>
      <c r="H461" t="s">
        <v>51</v>
      </c>
      <c r="I461">
        <v>2</v>
      </c>
      <c r="J461">
        <v>2</v>
      </c>
      <c r="K461" t="s">
        <v>56</v>
      </c>
      <c r="L461" t="s">
        <v>67</v>
      </c>
      <c r="N461" t="s">
        <v>74</v>
      </c>
      <c r="O461">
        <v>1624</v>
      </c>
      <c r="P461" t="s">
        <v>79</v>
      </c>
      <c r="Q461" t="s">
        <v>85</v>
      </c>
      <c r="R461" t="s">
        <v>91</v>
      </c>
      <c r="S461" t="s">
        <v>105</v>
      </c>
      <c r="T461" t="s">
        <v>114</v>
      </c>
    </row>
    <row r="462" spans="1:20">
      <c r="A462" t="s">
        <v>22</v>
      </c>
      <c r="B462" t="s">
        <v>29</v>
      </c>
      <c r="C462" t="s">
        <v>38</v>
      </c>
      <c r="E462" s="2">
        <v>46034.11130787037</v>
      </c>
      <c r="F462" s="2">
        <v>46034.11172453704</v>
      </c>
      <c r="G462" t="s">
        <v>50</v>
      </c>
      <c r="H462" t="s">
        <v>51</v>
      </c>
      <c r="I462">
        <v>2</v>
      </c>
      <c r="J462">
        <v>2</v>
      </c>
      <c r="K462" t="s">
        <v>54</v>
      </c>
      <c r="L462" t="s">
        <v>64</v>
      </c>
      <c r="M462" t="s">
        <v>69</v>
      </c>
      <c r="N462" t="s">
        <v>74</v>
      </c>
      <c r="O462">
        <v>36</v>
      </c>
      <c r="P462" t="s">
        <v>79</v>
      </c>
      <c r="Q462" t="s">
        <v>85</v>
      </c>
      <c r="R462" t="s">
        <v>91</v>
      </c>
      <c r="S462" t="s">
        <v>105</v>
      </c>
      <c r="T462" t="s">
        <v>114</v>
      </c>
    </row>
    <row r="463" spans="1:20">
      <c r="A463" t="s">
        <v>22</v>
      </c>
      <c r="B463" t="s">
        <v>29</v>
      </c>
      <c r="C463" t="s">
        <v>37</v>
      </c>
      <c r="E463" s="2">
        <v>46034.11172453704</v>
      </c>
      <c r="F463" s="2">
        <v>46034.11231481482</v>
      </c>
      <c r="G463" t="s">
        <v>50</v>
      </c>
      <c r="H463" t="s">
        <v>51</v>
      </c>
      <c r="I463">
        <v>2</v>
      </c>
      <c r="J463">
        <v>2</v>
      </c>
      <c r="K463" t="s">
        <v>54</v>
      </c>
      <c r="L463" t="s">
        <v>64</v>
      </c>
      <c r="M463" t="s">
        <v>69</v>
      </c>
      <c r="N463" t="s">
        <v>74</v>
      </c>
      <c r="O463">
        <v>51</v>
      </c>
      <c r="P463" t="s">
        <v>81</v>
      </c>
      <c r="Q463" t="s">
        <v>85</v>
      </c>
      <c r="R463" t="s">
        <v>93</v>
      </c>
      <c r="S463" t="s">
        <v>107</v>
      </c>
      <c r="T463" t="s">
        <v>114</v>
      </c>
    </row>
    <row r="464" spans="1:20">
      <c r="A464" t="s">
        <v>26</v>
      </c>
      <c r="B464" t="s">
        <v>33</v>
      </c>
      <c r="C464" t="s">
        <v>37</v>
      </c>
      <c r="E464" s="2">
        <v>46034.11197916666</v>
      </c>
      <c r="F464" s="2">
        <v>46034.11199074074</v>
      </c>
      <c r="G464" t="s">
        <v>50</v>
      </c>
      <c r="H464" t="s">
        <v>51</v>
      </c>
      <c r="I464">
        <v>2</v>
      </c>
      <c r="J464">
        <v>2</v>
      </c>
      <c r="L464" t="s">
        <v>68</v>
      </c>
      <c r="M464" t="s">
        <v>71</v>
      </c>
      <c r="N464" t="s">
        <v>74</v>
      </c>
      <c r="O464">
        <v>1</v>
      </c>
      <c r="P464" t="s">
        <v>81</v>
      </c>
      <c r="Q464" t="s">
        <v>85</v>
      </c>
      <c r="R464" t="s">
        <v>93</v>
      </c>
      <c r="S464" t="s">
        <v>107</v>
      </c>
      <c r="T464" t="s">
        <v>114</v>
      </c>
    </row>
    <row r="465" spans="1:20">
      <c r="A465" t="s">
        <v>26</v>
      </c>
      <c r="B465" t="s">
        <v>33</v>
      </c>
      <c r="C465" t="s">
        <v>37</v>
      </c>
      <c r="E465" s="2">
        <v>46034.11199074074</v>
      </c>
      <c r="F465" s="2">
        <v>46034.1122800926</v>
      </c>
      <c r="G465" t="s">
        <v>50</v>
      </c>
      <c r="H465" t="s">
        <v>51</v>
      </c>
      <c r="I465">
        <v>2</v>
      </c>
      <c r="J465">
        <v>2</v>
      </c>
      <c r="L465" t="s">
        <v>68</v>
      </c>
      <c r="M465" t="s">
        <v>73</v>
      </c>
      <c r="N465" t="s">
        <v>75</v>
      </c>
      <c r="O465">
        <v>25</v>
      </c>
      <c r="P465" t="s">
        <v>81</v>
      </c>
      <c r="Q465" t="s">
        <v>85</v>
      </c>
      <c r="R465" t="s">
        <v>93</v>
      </c>
      <c r="S465" t="s">
        <v>107</v>
      </c>
      <c r="T465" t="s">
        <v>114</v>
      </c>
    </row>
    <row r="466" spans="1:20">
      <c r="A466" t="s">
        <v>26</v>
      </c>
      <c r="B466" t="s">
        <v>33</v>
      </c>
      <c r="C466" t="s">
        <v>37</v>
      </c>
      <c r="E466" s="2">
        <v>46034.1122800926</v>
      </c>
      <c r="F466" s="2">
        <v>46034.11238425926</v>
      </c>
      <c r="G466" t="s">
        <v>50</v>
      </c>
      <c r="H466" t="s">
        <v>51</v>
      </c>
      <c r="I466">
        <v>2</v>
      </c>
      <c r="J466">
        <v>2</v>
      </c>
      <c r="L466" t="s">
        <v>68</v>
      </c>
      <c r="M466" t="s">
        <v>71</v>
      </c>
      <c r="N466" t="s">
        <v>74</v>
      </c>
      <c r="O466">
        <v>9</v>
      </c>
      <c r="P466" t="s">
        <v>81</v>
      </c>
      <c r="Q466" t="s">
        <v>85</v>
      </c>
      <c r="R466" t="s">
        <v>93</v>
      </c>
      <c r="S466" t="s">
        <v>107</v>
      </c>
      <c r="T466" t="s">
        <v>114</v>
      </c>
    </row>
    <row r="467" spans="1:20">
      <c r="A467" t="s">
        <v>22</v>
      </c>
      <c r="B467" t="s">
        <v>29</v>
      </c>
      <c r="C467" t="s">
        <v>39</v>
      </c>
      <c r="E467" s="2">
        <v>46034.11231481482</v>
      </c>
      <c r="F467" s="2">
        <v>46034.11304398148</v>
      </c>
      <c r="G467" t="s">
        <v>50</v>
      </c>
      <c r="H467" t="s">
        <v>51</v>
      </c>
      <c r="I467">
        <v>2</v>
      </c>
      <c r="J467">
        <v>2</v>
      </c>
      <c r="K467" t="s">
        <v>54</v>
      </c>
      <c r="L467" t="s">
        <v>64</v>
      </c>
      <c r="M467" t="s">
        <v>69</v>
      </c>
      <c r="N467" t="s">
        <v>74</v>
      </c>
      <c r="O467">
        <v>63</v>
      </c>
      <c r="P467" t="s">
        <v>81</v>
      </c>
      <c r="Q467" t="s">
        <v>85</v>
      </c>
      <c r="R467" t="s">
        <v>93</v>
      </c>
      <c r="S467" t="s">
        <v>107</v>
      </c>
      <c r="T467" t="s">
        <v>114</v>
      </c>
    </row>
    <row r="468" spans="1:20">
      <c r="A468" t="s">
        <v>20</v>
      </c>
      <c r="B468" t="s">
        <v>27</v>
      </c>
      <c r="C468" t="s">
        <v>38</v>
      </c>
      <c r="E468" s="2">
        <v>46034.11236111111</v>
      </c>
      <c r="F468" s="2">
        <v>46034.11300925926</v>
      </c>
      <c r="G468" t="s">
        <v>50</v>
      </c>
      <c r="H468" t="s">
        <v>51</v>
      </c>
      <c r="I468">
        <v>2</v>
      </c>
      <c r="J468">
        <v>2</v>
      </c>
      <c r="K468" t="s">
        <v>52</v>
      </c>
      <c r="L468" t="s">
        <v>66</v>
      </c>
      <c r="O468">
        <v>56</v>
      </c>
      <c r="P468" t="s">
        <v>79</v>
      </c>
      <c r="Q468" t="s">
        <v>85</v>
      </c>
      <c r="R468" t="s">
        <v>91</v>
      </c>
      <c r="S468" t="s">
        <v>105</v>
      </c>
      <c r="T468" t="s">
        <v>114</v>
      </c>
    </row>
    <row r="469" spans="1:20">
      <c r="A469" t="s">
        <v>26</v>
      </c>
      <c r="B469" t="s">
        <v>33</v>
      </c>
      <c r="C469" t="s">
        <v>39</v>
      </c>
      <c r="E469" s="2">
        <v>46034.11238425926</v>
      </c>
      <c r="F469" s="2">
        <v>46034.11439814815</v>
      </c>
      <c r="G469" t="s">
        <v>50</v>
      </c>
      <c r="H469" t="s">
        <v>51</v>
      </c>
      <c r="I469">
        <v>2</v>
      </c>
      <c r="J469">
        <v>2</v>
      </c>
      <c r="L469" t="s">
        <v>68</v>
      </c>
      <c r="M469" t="s">
        <v>71</v>
      </c>
      <c r="N469" t="s">
        <v>74</v>
      </c>
      <c r="O469">
        <v>174</v>
      </c>
      <c r="P469" t="s">
        <v>81</v>
      </c>
      <c r="Q469" t="s">
        <v>85</v>
      </c>
      <c r="R469" t="s">
        <v>93</v>
      </c>
      <c r="S469" t="s">
        <v>107</v>
      </c>
      <c r="T469" t="s">
        <v>114</v>
      </c>
    </row>
    <row r="470" spans="1:20">
      <c r="A470" t="s">
        <v>20</v>
      </c>
      <c r="B470" t="s">
        <v>27</v>
      </c>
      <c r="C470" t="s">
        <v>39</v>
      </c>
      <c r="E470" s="2">
        <v>46034.11300925926</v>
      </c>
      <c r="F470" s="2">
        <v>46034.11388888889</v>
      </c>
      <c r="G470" t="s">
        <v>50</v>
      </c>
      <c r="H470" t="s">
        <v>51</v>
      </c>
      <c r="I470">
        <v>2</v>
      </c>
      <c r="J470">
        <v>2</v>
      </c>
      <c r="K470" t="s">
        <v>52</v>
      </c>
      <c r="L470" t="s">
        <v>66</v>
      </c>
      <c r="O470">
        <v>76</v>
      </c>
      <c r="P470" t="s">
        <v>81</v>
      </c>
      <c r="Q470" t="s">
        <v>85</v>
      </c>
      <c r="R470" t="s">
        <v>93</v>
      </c>
      <c r="S470" t="s">
        <v>107</v>
      </c>
      <c r="T470" t="s">
        <v>114</v>
      </c>
    </row>
    <row r="471" spans="1:20">
      <c r="A471" t="s">
        <v>22</v>
      </c>
      <c r="B471" t="s">
        <v>29</v>
      </c>
      <c r="C471" t="s">
        <v>37</v>
      </c>
      <c r="E471" s="2">
        <v>46034.11304398148</v>
      </c>
      <c r="F471" s="2">
        <v>46034.11387731481</v>
      </c>
      <c r="G471" t="s">
        <v>50</v>
      </c>
      <c r="H471" t="s">
        <v>51</v>
      </c>
      <c r="I471">
        <v>2</v>
      </c>
      <c r="J471">
        <v>2</v>
      </c>
      <c r="K471" t="s">
        <v>54</v>
      </c>
      <c r="L471" t="s">
        <v>64</v>
      </c>
      <c r="M471" t="s">
        <v>69</v>
      </c>
      <c r="N471" t="s">
        <v>74</v>
      </c>
      <c r="O471">
        <v>72</v>
      </c>
      <c r="P471" t="s">
        <v>81</v>
      </c>
      <c r="Q471" t="s">
        <v>85</v>
      </c>
      <c r="R471" t="s">
        <v>93</v>
      </c>
      <c r="S471" t="s">
        <v>107</v>
      </c>
      <c r="T471" t="s">
        <v>114</v>
      </c>
    </row>
    <row r="472" spans="1:20">
      <c r="A472" t="s">
        <v>21</v>
      </c>
      <c r="B472" t="s">
        <v>28</v>
      </c>
      <c r="C472" t="s">
        <v>35</v>
      </c>
      <c r="D472" t="s">
        <v>45</v>
      </c>
      <c r="E472" s="2">
        <v>46034.11355324074</v>
      </c>
      <c r="F472" s="2">
        <v>46034.11693287037</v>
      </c>
      <c r="G472" t="s">
        <v>50</v>
      </c>
      <c r="H472" t="s">
        <v>51</v>
      </c>
      <c r="I472">
        <v>2</v>
      </c>
      <c r="J472">
        <v>2</v>
      </c>
      <c r="K472" t="s">
        <v>53</v>
      </c>
      <c r="L472" t="s">
        <v>58</v>
      </c>
      <c r="M472" t="s">
        <v>69</v>
      </c>
      <c r="N472" t="s">
        <v>74</v>
      </c>
      <c r="O472">
        <v>292</v>
      </c>
      <c r="P472" t="s">
        <v>45</v>
      </c>
      <c r="Q472" t="s">
        <v>84</v>
      </c>
      <c r="R472" t="s">
        <v>95</v>
      </c>
      <c r="S472" t="s">
        <v>109</v>
      </c>
      <c r="T472" t="s">
        <v>115</v>
      </c>
    </row>
    <row r="473" spans="1:20">
      <c r="A473" t="s">
        <v>22</v>
      </c>
      <c r="B473" t="s">
        <v>29</v>
      </c>
      <c r="C473" t="s">
        <v>38</v>
      </c>
      <c r="E473" s="2">
        <v>46034.11387731481</v>
      </c>
      <c r="F473" s="2">
        <v>46034.11400462963</v>
      </c>
      <c r="G473" t="s">
        <v>50</v>
      </c>
      <c r="H473" t="s">
        <v>51</v>
      </c>
      <c r="I473">
        <v>2</v>
      </c>
      <c r="J473">
        <v>2</v>
      </c>
      <c r="K473" t="s">
        <v>54</v>
      </c>
      <c r="L473" t="s">
        <v>64</v>
      </c>
      <c r="M473" t="s">
        <v>69</v>
      </c>
      <c r="N473" t="s">
        <v>74</v>
      </c>
      <c r="O473">
        <v>11</v>
      </c>
      <c r="P473" t="s">
        <v>79</v>
      </c>
      <c r="Q473" t="s">
        <v>85</v>
      </c>
      <c r="R473" t="s">
        <v>91</v>
      </c>
      <c r="S473" t="s">
        <v>105</v>
      </c>
      <c r="T473" t="s">
        <v>114</v>
      </c>
    </row>
    <row r="474" spans="1:20">
      <c r="A474" t="s">
        <v>20</v>
      </c>
      <c r="B474" t="s">
        <v>27</v>
      </c>
      <c r="C474" t="s">
        <v>38</v>
      </c>
      <c r="E474" s="2">
        <v>46034.11388888889</v>
      </c>
      <c r="F474" s="2">
        <v>46034.11487268518</v>
      </c>
      <c r="G474" t="s">
        <v>50</v>
      </c>
      <c r="H474" t="s">
        <v>51</v>
      </c>
      <c r="I474">
        <v>2</v>
      </c>
      <c r="J474">
        <v>2</v>
      </c>
      <c r="K474" t="s">
        <v>52</v>
      </c>
      <c r="L474" t="s">
        <v>66</v>
      </c>
      <c r="O474">
        <v>85</v>
      </c>
      <c r="P474" t="s">
        <v>79</v>
      </c>
      <c r="Q474" t="s">
        <v>85</v>
      </c>
      <c r="R474" t="s">
        <v>91</v>
      </c>
      <c r="S474" t="s">
        <v>105</v>
      </c>
      <c r="T474" t="s">
        <v>114</v>
      </c>
    </row>
    <row r="475" spans="1:20">
      <c r="A475" t="s">
        <v>22</v>
      </c>
      <c r="B475" t="s">
        <v>29</v>
      </c>
      <c r="C475" t="s">
        <v>36</v>
      </c>
      <c r="E475" s="2">
        <v>46034.11400462963</v>
      </c>
      <c r="F475" s="2">
        <v>46034.125</v>
      </c>
      <c r="G475" t="s">
        <v>50</v>
      </c>
      <c r="H475" t="s">
        <v>51</v>
      </c>
      <c r="I475">
        <v>2</v>
      </c>
      <c r="J475">
        <v>2</v>
      </c>
      <c r="K475" t="s">
        <v>54</v>
      </c>
      <c r="L475" t="s">
        <v>64</v>
      </c>
      <c r="M475" t="s">
        <v>69</v>
      </c>
      <c r="N475" t="s">
        <v>74</v>
      </c>
      <c r="O475">
        <v>950</v>
      </c>
      <c r="P475" t="s">
        <v>79</v>
      </c>
      <c r="Q475" t="s">
        <v>85</v>
      </c>
      <c r="R475" t="s">
        <v>91</v>
      </c>
      <c r="S475" t="s">
        <v>105</v>
      </c>
      <c r="T475" t="s">
        <v>114</v>
      </c>
    </row>
    <row r="476" spans="1:20">
      <c r="A476" t="s">
        <v>26</v>
      </c>
      <c r="B476" t="s">
        <v>33</v>
      </c>
      <c r="C476" t="s">
        <v>37</v>
      </c>
      <c r="E476" s="2">
        <v>46034.11439814815</v>
      </c>
      <c r="F476" s="2">
        <v>46034.1144212963</v>
      </c>
      <c r="G476" t="s">
        <v>50</v>
      </c>
      <c r="H476" t="s">
        <v>51</v>
      </c>
      <c r="I476">
        <v>2</v>
      </c>
      <c r="J476">
        <v>2</v>
      </c>
      <c r="L476" t="s">
        <v>68</v>
      </c>
      <c r="M476" t="s">
        <v>71</v>
      </c>
      <c r="N476" t="s">
        <v>74</v>
      </c>
      <c r="O476">
        <v>2</v>
      </c>
      <c r="P476" t="s">
        <v>81</v>
      </c>
      <c r="Q476" t="s">
        <v>85</v>
      </c>
      <c r="R476" t="s">
        <v>93</v>
      </c>
      <c r="S476" t="s">
        <v>107</v>
      </c>
      <c r="T476" t="s">
        <v>114</v>
      </c>
    </row>
    <row r="477" spans="1:20">
      <c r="A477" t="s">
        <v>26</v>
      </c>
      <c r="B477" t="s">
        <v>33</v>
      </c>
      <c r="C477" t="s">
        <v>37</v>
      </c>
      <c r="E477" s="2">
        <v>46034.1144212963</v>
      </c>
      <c r="F477" s="2">
        <v>46034.11519675926</v>
      </c>
      <c r="G477" t="s">
        <v>50</v>
      </c>
      <c r="H477" t="s">
        <v>51</v>
      </c>
      <c r="I477">
        <v>2</v>
      </c>
      <c r="J477">
        <v>2</v>
      </c>
      <c r="L477" t="s">
        <v>68</v>
      </c>
      <c r="M477" t="s">
        <v>73</v>
      </c>
      <c r="N477" t="s">
        <v>76</v>
      </c>
      <c r="O477">
        <v>67</v>
      </c>
      <c r="P477" t="s">
        <v>81</v>
      </c>
      <c r="Q477" t="s">
        <v>85</v>
      </c>
      <c r="R477" t="s">
        <v>93</v>
      </c>
      <c r="S477" t="s">
        <v>107</v>
      </c>
      <c r="T477" t="s">
        <v>114</v>
      </c>
    </row>
    <row r="478" spans="1:20">
      <c r="A478" t="s">
        <v>20</v>
      </c>
      <c r="B478" t="s">
        <v>27</v>
      </c>
      <c r="C478" t="s">
        <v>36</v>
      </c>
      <c r="E478" s="2">
        <v>46034.11487268518</v>
      </c>
      <c r="F478" s="2">
        <v>46034.12429398148</v>
      </c>
      <c r="G478" t="s">
        <v>50</v>
      </c>
      <c r="H478" t="s">
        <v>51</v>
      </c>
      <c r="I478">
        <v>2</v>
      </c>
      <c r="J478">
        <v>2</v>
      </c>
      <c r="K478" t="s">
        <v>52</v>
      </c>
      <c r="L478" t="s">
        <v>66</v>
      </c>
      <c r="O478">
        <v>814</v>
      </c>
      <c r="P478" t="s">
        <v>79</v>
      </c>
      <c r="Q478" t="s">
        <v>85</v>
      </c>
      <c r="R478" t="s">
        <v>91</v>
      </c>
      <c r="S478" t="s">
        <v>105</v>
      </c>
      <c r="T478" t="s">
        <v>114</v>
      </c>
    </row>
    <row r="479" spans="1:20">
      <c r="A479" t="s">
        <v>26</v>
      </c>
      <c r="B479" t="s">
        <v>33</v>
      </c>
      <c r="C479" t="s">
        <v>37</v>
      </c>
      <c r="E479" s="2">
        <v>46034.11519675926</v>
      </c>
      <c r="F479" s="2">
        <v>46034.11524305555</v>
      </c>
      <c r="G479" t="s">
        <v>50</v>
      </c>
      <c r="H479" t="s">
        <v>51</v>
      </c>
      <c r="I479">
        <v>2</v>
      </c>
      <c r="J479">
        <v>2</v>
      </c>
      <c r="L479" t="s">
        <v>68</v>
      </c>
      <c r="M479" t="s">
        <v>71</v>
      </c>
      <c r="N479" t="s">
        <v>74</v>
      </c>
      <c r="O479">
        <v>4</v>
      </c>
      <c r="P479" t="s">
        <v>81</v>
      </c>
      <c r="Q479" t="s">
        <v>85</v>
      </c>
      <c r="R479" t="s">
        <v>93</v>
      </c>
      <c r="S479" t="s">
        <v>107</v>
      </c>
      <c r="T479" t="s">
        <v>114</v>
      </c>
    </row>
    <row r="480" spans="1:20">
      <c r="A480" t="s">
        <v>26</v>
      </c>
      <c r="B480" t="s">
        <v>33</v>
      </c>
      <c r="C480" t="s">
        <v>38</v>
      </c>
      <c r="E480" s="2">
        <v>46034.11524305555</v>
      </c>
      <c r="F480" s="2">
        <v>46034.125</v>
      </c>
      <c r="G480" t="s">
        <v>50</v>
      </c>
      <c r="H480" t="s">
        <v>51</v>
      </c>
      <c r="I480">
        <v>2</v>
      </c>
      <c r="J480">
        <v>2</v>
      </c>
      <c r="L480" t="s">
        <v>68</v>
      </c>
      <c r="M480" t="s">
        <v>71</v>
      </c>
      <c r="N480" t="s">
        <v>74</v>
      </c>
      <c r="O480">
        <v>843</v>
      </c>
      <c r="P480" t="s">
        <v>79</v>
      </c>
      <c r="Q480" t="s">
        <v>85</v>
      </c>
      <c r="R480" t="s">
        <v>91</v>
      </c>
      <c r="S480" t="s">
        <v>105</v>
      </c>
      <c r="T480" t="s">
        <v>114</v>
      </c>
    </row>
    <row r="481" spans="1:20">
      <c r="A481" t="s">
        <v>21</v>
      </c>
      <c r="B481" t="s">
        <v>28</v>
      </c>
      <c r="C481" t="s">
        <v>35</v>
      </c>
      <c r="D481" t="s">
        <v>45</v>
      </c>
      <c r="E481" s="2">
        <v>46034.11693287037</v>
      </c>
      <c r="F481" s="2">
        <v>46034.125</v>
      </c>
      <c r="G481" t="s">
        <v>50</v>
      </c>
      <c r="H481" t="s">
        <v>51</v>
      </c>
      <c r="I481">
        <v>2</v>
      </c>
      <c r="J481">
        <v>2</v>
      </c>
      <c r="K481" t="s">
        <v>53</v>
      </c>
      <c r="L481" t="s">
        <v>58</v>
      </c>
      <c r="M481" t="s">
        <v>69</v>
      </c>
      <c r="N481" t="s">
        <v>74</v>
      </c>
      <c r="O481">
        <v>697</v>
      </c>
      <c r="P481" t="s">
        <v>45</v>
      </c>
      <c r="Q481" t="s">
        <v>84</v>
      </c>
      <c r="R481" t="s">
        <v>95</v>
      </c>
      <c r="S481" t="s">
        <v>109</v>
      </c>
      <c r="T481" t="s">
        <v>115</v>
      </c>
    </row>
    <row r="482" spans="1:20">
      <c r="A482" t="s">
        <v>20</v>
      </c>
      <c r="B482" t="s">
        <v>27</v>
      </c>
      <c r="C482" t="s">
        <v>38</v>
      </c>
      <c r="E482" s="2">
        <v>46034.12429398148</v>
      </c>
      <c r="F482" s="2">
        <v>46034.12488425926</v>
      </c>
      <c r="G482" t="s">
        <v>50</v>
      </c>
      <c r="H482" t="s">
        <v>51</v>
      </c>
      <c r="I482">
        <v>2</v>
      </c>
      <c r="J482">
        <v>2</v>
      </c>
      <c r="K482" t="s">
        <v>52</v>
      </c>
      <c r="L482" t="s">
        <v>66</v>
      </c>
      <c r="O482">
        <v>51</v>
      </c>
      <c r="P482" t="s">
        <v>79</v>
      </c>
      <c r="Q482" t="s">
        <v>85</v>
      </c>
      <c r="R482" t="s">
        <v>91</v>
      </c>
      <c r="S482" t="s">
        <v>105</v>
      </c>
      <c r="T482" t="s">
        <v>114</v>
      </c>
    </row>
    <row r="483" spans="1:20">
      <c r="A483" t="s">
        <v>20</v>
      </c>
      <c r="B483" t="s">
        <v>27</v>
      </c>
      <c r="C483" t="s">
        <v>39</v>
      </c>
      <c r="E483" s="2">
        <v>46034.12488425926</v>
      </c>
      <c r="F483" s="2">
        <v>46034.125</v>
      </c>
      <c r="G483" t="s">
        <v>50</v>
      </c>
      <c r="H483" t="s">
        <v>51</v>
      </c>
      <c r="I483">
        <v>2</v>
      </c>
      <c r="J483">
        <v>2</v>
      </c>
      <c r="K483" t="s">
        <v>52</v>
      </c>
      <c r="L483" t="s">
        <v>66</v>
      </c>
      <c r="O483">
        <v>10</v>
      </c>
      <c r="P483" t="s">
        <v>81</v>
      </c>
      <c r="Q483" t="s">
        <v>85</v>
      </c>
      <c r="R483" t="s">
        <v>93</v>
      </c>
      <c r="S483" t="s">
        <v>107</v>
      </c>
      <c r="T483" t="s">
        <v>114</v>
      </c>
    </row>
    <row r="484" spans="1:20">
      <c r="A484" t="s">
        <v>20</v>
      </c>
      <c r="B484" t="s">
        <v>27</v>
      </c>
      <c r="C484" t="s">
        <v>39</v>
      </c>
      <c r="E484" s="2">
        <v>46034.125</v>
      </c>
      <c r="F484" s="2">
        <v>46034.12787037037</v>
      </c>
      <c r="G484" t="s">
        <v>50</v>
      </c>
      <c r="H484" t="s">
        <v>51</v>
      </c>
      <c r="I484">
        <v>3</v>
      </c>
      <c r="J484">
        <v>3</v>
      </c>
      <c r="K484" t="s">
        <v>52</v>
      </c>
      <c r="L484" t="s">
        <v>66</v>
      </c>
      <c r="O484">
        <v>248</v>
      </c>
      <c r="P484" t="s">
        <v>81</v>
      </c>
      <c r="Q484" t="s">
        <v>85</v>
      </c>
      <c r="R484" t="s">
        <v>93</v>
      </c>
      <c r="S484" t="s">
        <v>107</v>
      </c>
      <c r="T484" t="s">
        <v>114</v>
      </c>
    </row>
    <row r="485" spans="1:20">
      <c r="A485" t="s">
        <v>21</v>
      </c>
      <c r="B485" t="s">
        <v>28</v>
      </c>
      <c r="C485" t="s">
        <v>35</v>
      </c>
      <c r="D485" t="s">
        <v>45</v>
      </c>
      <c r="E485" s="2">
        <v>46034.125</v>
      </c>
      <c r="F485" s="2">
        <v>46034.14539351852</v>
      </c>
      <c r="G485" t="s">
        <v>50</v>
      </c>
      <c r="H485" t="s">
        <v>51</v>
      </c>
      <c r="I485">
        <v>3</v>
      </c>
      <c r="J485">
        <v>3</v>
      </c>
      <c r="K485" t="s">
        <v>53</v>
      </c>
      <c r="L485" t="s">
        <v>58</v>
      </c>
      <c r="M485" t="s">
        <v>69</v>
      </c>
      <c r="N485" t="s">
        <v>74</v>
      </c>
      <c r="O485">
        <v>1762</v>
      </c>
      <c r="P485" t="s">
        <v>45</v>
      </c>
      <c r="Q485" t="s">
        <v>84</v>
      </c>
      <c r="R485" t="s">
        <v>95</v>
      </c>
      <c r="S485" t="s">
        <v>109</v>
      </c>
      <c r="T485" t="s">
        <v>115</v>
      </c>
    </row>
    <row r="486" spans="1:20">
      <c r="A486" t="s">
        <v>22</v>
      </c>
      <c r="B486" t="s">
        <v>29</v>
      </c>
      <c r="C486" t="s">
        <v>36</v>
      </c>
      <c r="E486" s="2">
        <v>46034.125</v>
      </c>
      <c r="F486" s="2">
        <v>46034.13724537037</v>
      </c>
      <c r="G486" t="s">
        <v>50</v>
      </c>
      <c r="H486" t="s">
        <v>51</v>
      </c>
      <c r="I486">
        <v>3</v>
      </c>
      <c r="J486">
        <v>3</v>
      </c>
      <c r="K486" t="s">
        <v>54</v>
      </c>
      <c r="L486" t="s">
        <v>64</v>
      </c>
      <c r="M486" t="s">
        <v>69</v>
      </c>
      <c r="N486" t="s">
        <v>74</v>
      </c>
      <c r="O486">
        <v>1058</v>
      </c>
      <c r="P486" t="s">
        <v>79</v>
      </c>
      <c r="Q486" t="s">
        <v>85</v>
      </c>
      <c r="R486" t="s">
        <v>91</v>
      </c>
      <c r="S486" t="s">
        <v>105</v>
      </c>
      <c r="T486" t="s">
        <v>114</v>
      </c>
    </row>
    <row r="487" spans="1:20">
      <c r="A487" t="s">
        <v>24</v>
      </c>
      <c r="B487" t="s">
        <v>31</v>
      </c>
      <c r="C487" t="s">
        <v>36</v>
      </c>
      <c r="E487" s="2">
        <v>46034.125</v>
      </c>
      <c r="F487" s="2">
        <v>46034.13212962963</v>
      </c>
      <c r="G487" t="s">
        <v>50</v>
      </c>
      <c r="H487" t="s">
        <v>51</v>
      </c>
      <c r="I487">
        <v>3</v>
      </c>
      <c r="J487">
        <v>3</v>
      </c>
      <c r="K487" t="s">
        <v>56</v>
      </c>
      <c r="L487" t="s">
        <v>67</v>
      </c>
      <c r="N487" t="s">
        <v>74</v>
      </c>
      <c r="O487">
        <v>616</v>
      </c>
      <c r="P487" t="s">
        <v>79</v>
      </c>
      <c r="Q487" t="s">
        <v>85</v>
      </c>
      <c r="R487" t="s">
        <v>91</v>
      </c>
      <c r="S487" t="s">
        <v>105</v>
      </c>
      <c r="T487" t="s">
        <v>114</v>
      </c>
    </row>
    <row r="488" spans="1:20">
      <c r="A488" t="s">
        <v>23</v>
      </c>
      <c r="B488" t="s">
        <v>30</v>
      </c>
      <c r="C488" t="s">
        <v>36</v>
      </c>
      <c r="E488" s="2">
        <v>46034.125</v>
      </c>
      <c r="F488" s="2">
        <v>46034.12732638889</v>
      </c>
      <c r="G488" t="s">
        <v>50</v>
      </c>
      <c r="H488" t="s">
        <v>51</v>
      </c>
      <c r="I488">
        <v>3</v>
      </c>
      <c r="J488">
        <v>3</v>
      </c>
      <c r="K488" t="s">
        <v>55</v>
      </c>
      <c r="L488" t="s">
        <v>65</v>
      </c>
      <c r="M488" t="s">
        <v>69</v>
      </c>
      <c r="N488" t="s">
        <v>74</v>
      </c>
      <c r="O488">
        <v>201</v>
      </c>
      <c r="P488" t="s">
        <v>79</v>
      </c>
      <c r="Q488" t="s">
        <v>85</v>
      </c>
      <c r="R488" t="s">
        <v>91</v>
      </c>
      <c r="S488" t="s">
        <v>105</v>
      </c>
      <c r="T488" t="s">
        <v>114</v>
      </c>
    </row>
    <row r="489" spans="1:20">
      <c r="A489" t="s">
        <v>26</v>
      </c>
      <c r="B489" t="s">
        <v>33</v>
      </c>
      <c r="C489" t="s">
        <v>38</v>
      </c>
      <c r="E489" s="2">
        <v>46034.125</v>
      </c>
      <c r="F489" s="2">
        <v>46034.14988425926</v>
      </c>
      <c r="G489" t="s">
        <v>50</v>
      </c>
      <c r="H489" t="s">
        <v>51</v>
      </c>
      <c r="I489">
        <v>3</v>
      </c>
      <c r="J489">
        <v>3</v>
      </c>
      <c r="L489" t="s">
        <v>68</v>
      </c>
      <c r="M489" t="s">
        <v>71</v>
      </c>
      <c r="N489" t="s">
        <v>74</v>
      </c>
      <c r="O489">
        <v>2150</v>
      </c>
      <c r="P489" t="s">
        <v>79</v>
      </c>
      <c r="Q489" t="s">
        <v>85</v>
      </c>
      <c r="R489" t="s">
        <v>91</v>
      </c>
      <c r="S489" t="s">
        <v>105</v>
      </c>
      <c r="T489" t="s">
        <v>114</v>
      </c>
    </row>
    <row r="490" spans="1:20">
      <c r="A490" t="s">
        <v>25</v>
      </c>
      <c r="B490" t="s">
        <v>32</v>
      </c>
      <c r="C490" t="s">
        <v>38</v>
      </c>
      <c r="E490" s="2">
        <v>46034.125</v>
      </c>
      <c r="F490" s="2">
        <v>46034.1300462963</v>
      </c>
      <c r="G490" t="s">
        <v>50</v>
      </c>
      <c r="H490" t="s">
        <v>51</v>
      </c>
      <c r="I490">
        <v>3</v>
      </c>
      <c r="J490">
        <v>3</v>
      </c>
      <c r="K490" t="s">
        <v>53</v>
      </c>
      <c r="L490" t="s">
        <v>62</v>
      </c>
      <c r="M490" t="s">
        <v>69</v>
      </c>
      <c r="N490" t="s">
        <v>74</v>
      </c>
      <c r="O490">
        <v>436</v>
      </c>
      <c r="P490" t="s">
        <v>79</v>
      </c>
      <c r="Q490" t="s">
        <v>85</v>
      </c>
      <c r="R490" t="s">
        <v>91</v>
      </c>
      <c r="S490" t="s">
        <v>105</v>
      </c>
      <c r="T490" t="s">
        <v>114</v>
      </c>
    </row>
    <row r="491" spans="1:20">
      <c r="A491" t="s">
        <v>23</v>
      </c>
      <c r="B491" t="s">
        <v>30</v>
      </c>
      <c r="C491" t="s">
        <v>38</v>
      </c>
      <c r="E491" s="2">
        <v>46034.12732638889</v>
      </c>
      <c r="F491" s="2">
        <v>46034.1277662037</v>
      </c>
      <c r="G491" t="s">
        <v>50</v>
      </c>
      <c r="H491" t="s">
        <v>51</v>
      </c>
      <c r="I491">
        <v>3</v>
      </c>
      <c r="J491">
        <v>3</v>
      </c>
      <c r="K491" t="s">
        <v>55</v>
      </c>
      <c r="L491" t="s">
        <v>65</v>
      </c>
      <c r="M491" t="s">
        <v>69</v>
      </c>
      <c r="N491" t="s">
        <v>74</v>
      </c>
      <c r="O491">
        <v>38</v>
      </c>
      <c r="P491" t="s">
        <v>79</v>
      </c>
      <c r="Q491" t="s">
        <v>85</v>
      </c>
      <c r="R491" t="s">
        <v>91</v>
      </c>
      <c r="S491" t="s">
        <v>105</v>
      </c>
      <c r="T491" t="s">
        <v>114</v>
      </c>
    </row>
    <row r="492" spans="1:20">
      <c r="A492" t="s">
        <v>23</v>
      </c>
      <c r="B492" t="s">
        <v>30</v>
      </c>
      <c r="C492" t="s">
        <v>37</v>
      </c>
      <c r="E492" s="2">
        <v>46034.1277662037</v>
      </c>
      <c r="F492" s="2">
        <v>46034.12777777778</v>
      </c>
      <c r="G492" t="s">
        <v>50</v>
      </c>
      <c r="H492" t="s">
        <v>51</v>
      </c>
      <c r="I492">
        <v>3</v>
      </c>
      <c r="J492">
        <v>3</v>
      </c>
      <c r="K492" t="s">
        <v>55</v>
      </c>
      <c r="L492" t="s">
        <v>65</v>
      </c>
      <c r="M492" t="s">
        <v>69</v>
      </c>
      <c r="N492" t="s">
        <v>74</v>
      </c>
      <c r="O492">
        <v>1</v>
      </c>
      <c r="P492" t="s">
        <v>81</v>
      </c>
      <c r="Q492" t="s">
        <v>85</v>
      </c>
      <c r="R492" t="s">
        <v>93</v>
      </c>
      <c r="S492" t="s">
        <v>107</v>
      </c>
      <c r="T492" t="s">
        <v>114</v>
      </c>
    </row>
    <row r="493" spans="1:20">
      <c r="A493" t="s">
        <v>23</v>
      </c>
      <c r="B493" t="s">
        <v>30</v>
      </c>
      <c r="C493" t="s">
        <v>37</v>
      </c>
      <c r="E493" s="2">
        <v>46034.12777777778</v>
      </c>
      <c r="F493" s="2">
        <v>46034.12803240741</v>
      </c>
      <c r="G493" t="s">
        <v>50</v>
      </c>
      <c r="H493" t="s">
        <v>51</v>
      </c>
      <c r="I493">
        <v>3</v>
      </c>
      <c r="J493">
        <v>3</v>
      </c>
      <c r="K493" t="s">
        <v>55</v>
      </c>
      <c r="L493" t="s">
        <v>65</v>
      </c>
      <c r="M493" t="s">
        <v>69</v>
      </c>
      <c r="N493" t="s">
        <v>75</v>
      </c>
      <c r="O493">
        <v>22</v>
      </c>
      <c r="P493" t="s">
        <v>81</v>
      </c>
      <c r="Q493" t="s">
        <v>85</v>
      </c>
      <c r="R493" t="s">
        <v>93</v>
      </c>
      <c r="S493" t="s">
        <v>107</v>
      </c>
      <c r="T493" t="s">
        <v>114</v>
      </c>
    </row>
    <row r="494" spans="1:20">
      <c r="A494" t="s">
        <v>20</v>
      </c>
      <c r="B494" t="s">
        <v>27</v>
      </c>
      <c r="C494" t="s">
        <v>38</v>
      </c>
      <c r="E494" s="2">
        <v>46034.12787037037</v>
      </c>
      <c r="F494" s="2">
        <v>46034.12872685185</v>
      </c>
      <c r="G494" t="s">
        <v>50</v>
      </c>
      <c r="H494" t="s">
        <v>51</v>
      </c>
      <c r="I494">
        <v>3</v>
      </c>
      <c r="J494">
        <v>3</v>
      </c>
      <c r="K494" t="s">
        <v>52</v>
      </c>
      <c r="L494" t="s">
        <v>66</v>
      </c>
      <c r="O494">
        <v>74</v>
      </c>
      <c r="P494" t="s">
        <v>79</v>
      </c>
      <c r="Q494" t="s">
        <v>85</v>
      </c>
      <c r="R494" t="s">
        <v>91</v>
      </c>
      <c r="S494" t="s">
        <v>105</v>
      </c>
      <c r="T494" t="s">
        <v>114</v>
      </c>
    </row>
    <row r="495" spans="1:20">
      <c r="A495" t="s">
        <v>23</v>
      </c>
      <c r="B495" t="s">
        <v>30</v>
      </c>
      <c r="C495" t="s">
        <v>37</v>
      </c>
      <c r="E495" s="2">
        <v>46034.12803240741</v>
      </c>
      <c r="F495" s="2">
        <v>46034.12810185185</v>
      </c>
      <c r="G495" t="s">
        <v>50</v>
      </c>
      <c r="H495" t="s">
        <v>51</v>
      </c>
      <c r="I495">
        <v>3</v>
      </c>
      <c r="J495">
        <v>3</v>
      </c>
      <c r="K495" t="s">
        <v>55</v>
      </c>
      <c r="L495" t="s">
        <v>65</v>
      </c>
      <c r="M495" t="s">
        <v>69</v>
      </c>
      <c r="N495" t="s">
        <v>74</v>
      </c>
      <c r="O495">
        <v>6</v>
      </c>
      <c r="P495" t="s">
        <v>81</v>
      </c>
      <c r="Q495" t="s">
        <v>85</v>
      </c>
      <c r="R495" t="s">
        <v>93</v>
      </c>
      <c r="S495" t="s">
        <v>107</v>
      </c>
      <c r="T495" t="s">
        <v>114</v>
      </c>
    </row>
    <row r="496" spans="1:20">
      <c r="A496" t="s">
        <v>23</v>
      </c>
      <c r="B496" t="s">
        <v>30</v>
      </c>
      <c r="C496" t="s">
        <v>39</v>
      </c>
      <c r="E496" s="2">
        <v>46034.12810185185</v>
      </c>
      <c r="F496" s="2">
        <v>46034.13065972222</v>
      </c>
      <c r="G496" t="s">
        <v>50</v>
      </c>
      <c r="H496" t="s">
        <v>51</v>
      </c>
      <c r="I496">
        <v>3</v>
      </c>
      <c r="J496">
        <v>3</v>
      </c>
      <c r="K496" t="s">
        <v>55</v>
      </c>
      <c r="L496" t="s">
        <v>65</v>
      </c>
      <c r="M496" t="s">
        <v>69</v>
      </c>
      <c r="N496" t="s">
        <v>74</v>
      </c>
      <c r="O496">
        <v>221</v>
      </c>
      <c r="P496" t="s">
        <v>81</v>
      </c>
      <c r="Q496" t="s">
        <v>85</v>
      </c>
      <c r="R496" t="s">
        <v>93</v>
      </c>
      <c r="S496" t="s">
        <v>107</v>
      </c>
      <c r="T496" t="s">
        <v>114</v>
      </c>
    </row>
    <row r="497" spans="1:20">
      <c r="A497" t="s">
        <v>20</v>
      </c>
      <c r="B497" t="s">
        <v>27</v>
      </c>
      <c r="C497" t="s">
        <v>36</v>
      </c>
      <c r="E497" s="2">
        <v>46034.12872685185</v>
      </c>
      <c r="F497" s="2">
        <v>46034.13905092593</v>
      </c>
      <c r="G497" t="s">
        <v>50</v>
      </c>
      <c r="H497" t="s">
        <v>51</v>
      </c>
      <c r="I497">
        <v>3</v>
      </c>
      <c r="J497">
        <v>3</v>
      </c>
      <c r="K497" t="s">
        <v>52</v>
      </c>
      <c r="L497" t="s">
        <v>66</v>
      </c>
      <c r="O497">
        <v>892</v>
      </c>
      <c r="P497" t="s">
        <v>79</v>
      </c>
      <c r="Q497" t="s">
        <v>85</v>
      </c>
      <c r="R497" t="s">
        <v>91</v>
      </c>
      <c r="S497" t="s">
        <v>105</v>
      </c>
      <c r="T497" t="s">
        <v>114</v>
      </c>
    </row>
    <row r="498" spans="1:20">
      <c r="A498" t="s">
        <v>25</v>
      </c>
      <c r="B498" t="s">
        <v>32</v>
      </c>
      <c r="C498" t="s">
        <v>37</v>
      </c>
      <c r="E498" s="2">
        <v>46034.1300462963</v>
      </c>
      <c r="F498" s="2">
        <v>46034.13020833334</v>
      </c>
      <c r="G498" t="s">
        <v>50</v>
      </c>
      <c r="H498" t="s">
        <v>51</v>
      </c>
      <c r="I498">
        <v>3</v>
      </c>
      <c r="J498">
        <v>3</v>
      </c>
      <c r="K498" t="s">
        <v>53</v>
      </c>
      <c r="L498" t="s">
        <v>62</v>
      </c>
      <c r="M498" t="s">
        <v>69</v>
      </c>
      <c r="N498" t="s">
        <v>74</v>
      </c>
      <c r="O498">
        <v>14</v>
      </c>
      <c r="P498" t="s">
        <v>81</v>
      </c>
      <c r="Q498" t="s">
        <v>85</v>
      </c>
      <c r="R498" t="s">
        <v>93</v>
      </c>
      <c r="S498" t="s">
        <v>107</v>
      </c>
      <c r="T498" t="s">
        <v>114</v>
      </c>
    </row>
    <row r="499" spans="1:20">
      <c r="A499" t="s">
        <v>25</v>
      </c>
      <c r="B499" t="s">
        <v>32</v>
      </c>
      <c r="C499" t="s">
        <v>37</v>
      </c>
      <c r="E499" s="2">
        <v>46034.13020833334</v>
      </c>
      <c r="F499" s="2">
        <v>46034.13069444444</v>
      </c>
      <c r="G499" t="s">
        <v>50</v>
      </c>
      <c r="H499" t="s">
        <v>51</v>
      </c>
      <c r="I499">
        <v>3</v>
      </c>
      <c r="J499">
        <v>3</v>
      </c>
      <c r="K499" t="s">
        <v>53</v>
      </c>
      <c r="L499" t="s">
        <v>62</v>
      </c>
      <c r="M499" t="s">
        <v>69</v>
      </c>
      <c r="N499" t="s">
        <v>75</v>
      </c>
      <c r="O499">
        <v>42</v>
      </c>
      <c r="P499" t="s">
        <v>81</v>
      </c>
      <c r="Q499" t="s">
        <v>85</v>
      </c>
      <c r="R499" t="s">
        <v>93</v>
      </c>
      <c r="S499" t="s">
        <v>107</v>
      </c>
      <c r="T499" t="s">
        <v>114</v>
      </c>
    </row>
    <row r="500" spans="1:20">
      <c r="A500" t="s">
        <v>23</v>
      </c>
      <c r="B500" t="s">
        <v>30</v>
      </c>
      <c r="C500" t="s">
        <v>37</v>
      </c>
      <c r="E500" s="2">
        <v>46034.13065972222</v>
      </c>
      <c r="F500" s="2">
        <v>46034.13167824074</v>
      </c>
      <c r="G500" t="s">
        <v>50</v>
      </c>
      <c r="H500" t="s">
        <v>51</v>
      </c>
      <c r="I500">
        <v>3</v>
      </c>
      <c r="J500">
        <v>3</v>
      </c>
      <c r="K500" t="s">
        <v>55</v>
      </c>
      <c r="L500" t="s">
        <v>65</v>
      </c>
      <c r="M500" t="s">
        <v>69</v>
      </c>
      <c r="N500" t="s">
        <v>74</v>
      </c>
      <c r="O500">
        <v>88</v>
      </c>
      <c r="P500" t="s">
        <v>81</v>
      </c>
      <c r="Q500" t="s">
        <v>85</v>
      </c>
      <c r="R500" t="s">
        <v>93</v>
      </c>
      <c r="S500" t="s">
        <v>107</v>
      </c>
      <c r="T500" t="s">
        <v>114</v>
      </c>
    </row>
    <row r="501" spans="1:20">
      <c r="A501" t="s">
        <v>25</v>
      </c>
      <c r="B501" t="s">
        <v>32</v>
      </c>
      <c r="C501" t="s">
        <v>37</v>
      </c>
      <c r="E501" s="2">
        <v>46034.13069444444</v>
      </c>
      <c r="F501" s="2">
        <v>46034.13075231481</v>
      </c>
      <c r="G501" t="s">
        <v>50</v>
      </c>
      <c r="H501" t="s">
        <v>51</v>
      </c>
      <c r="I501">
        <v>3</v>
      </c>
      <c r="J501">
        <v>3</v>
      </c>
      <c r="K501" t="s">
        <v>53</v>
      </c>
      <c r="L501" t="s">
        <v>62</v>
      </c>
      <c r="M501" t="s">
        <v>69</v>
      </c>
      <c r="N501" t="s">
        <v>74</v>
      </c>
      <c r="O501">
        <v>5</v>
      </c>
      <c r="P501" t="s">
        <v>81</v>
      </c>
      <c r="Q501" t="s">
        <v>85</v>
      </c>
      <c r="R501" t="s">
        <v>93</v>
      </c>
      <c r="S501" t="s">
        <v>107</v>
      </c>
      <c r="T501" t="s">
        <v>114</v>
      </c>
    </row>
    <row r="502" spans="1:20">
      <c r="A502" t="s">
        <v>25</v>
      </c>
      <c r="B502" t="s">
        <v>32</v>
      </c>
      <c r="C502" t="s">
        <v>39</v>
      </c>
      <c r="E502" s="2">
        <v>46034.13075231481</v>
      </c>
      <c r="F502" s="2">
        <v>46034.13184027778</v>
      </c>
      <c r="G502" t="s">
        <v>50</v>
      </c>
      <c r="H502" t="s">
        <v>51</v>
      </c>
      <c r="I502">
        <v>3</v>
      </c>
      <c r="J502">
        <v>3</v>
      </c>
      <c r="K502" t="s">
        <v>53</v>
      </c>
      <c r="L502" t="s">
        <v>62</v>
      </c>
      <c r="M502" t="s">
        <v>69</v>
      </c>
      <c r="N502" t="s">
        <v>74</v>
      </c>
      <c r="O502">
        <v>94</v>
      </c>
      <c r="P502" t="s">
        <v>81</v>
      </c>
      <c r="Q502" t="s">
        <v>85</v>
      </c>
      <c r="R502" t="s">
        <v>93</v>
      </c>
      <c r="S502" t="s">
        <v>107</v>
      </c>
      <c r="T502" t="s">
        <v>114</v>
      </c>
    </row>
    <row r="503" spans="1:20">
      <c r="A503" t="s">
        <v>23</v>
      </c>
      <c r="B503" t="s">
        <v>30</v>
      </c>
      <c r="C503" t="s">
        <v>38</v>
      </c>
      <c r="E503" s="2">
        <v>46034.13167824074</v>
      </c>
      <c r="F503" s="2">
        <v>46034.13194444445</v>
      </c>
      <c r="G503" t="s">
        <v>50</v>
      </c>
      <c r="H503" t="s">
        <v>51</v>
      </c>
      <c r="I503">
        <v>3</v>
      </c>
      <c r="J503">
        <v>3</v>
      </c>
      <c r="K503" t="s">
        <v>55</v>
      </c>
      <c r="L503" t="s">
        <v>65</v>
      </c>
      <c r="M503" t="s">
        <v>69</v>
      </c>
      <c r="N503" t="s">
        <v>74</v>
      </c>
      <c r="O503">
        <v>23</v>
      </c>
      <c r="P503" t="s">
        <v>79</v>
      </c>
      <c r="Q503" t="s">
        <v>85</v>
      </c>
      <c r="R503" t="s">
        <v>91</v>
      </c>
      <c r="S503" t="s">
        <v>105</v>
      </c>
      <c r="T503" t="s">
        <v>114</v>
      </c>
    </row>
    <row r="504" spans="1:20">
      <c r="A504" t="s">
        <v>25</v>
      </c>
      <c r="B504" t="s">
        <v>32</v>
      </c>
      <c r="C504" t="s">
        <v>37</v>
      </c>
      <c r="E504" s="2">
        <v>46034.13184027778</v>
      </c>
      <c r="F504" s="2">
        <v>46034.13188657408</v>
      </c>
      <c r="G504" t="s">
        <v>50</v>
      </c>
      <c r="H504" t="s">
        <v>51</v>
      </c>
      <c r="I504">
        <v>3</v>
      </c>
      <c r="J504">
        <v>3</v>
      </c>
      <c r="K504" t="s">
        <v>53</v>
      </c>
      <c r="L504" t="s">
        <v>62</v>
      </c>
      <c r="M504" t="s">
        <v>69</v>
      </c>
      <c r="N504" t="s">
        <v>74</v>
      </c>
      <c r="O504">
        <v>4</v>
      </c>
      <c r="P504" t="s">
        <v>81</v>
      </c>
      <c r="Q504" t="s">
        <v>85</v>
      </c>
      <c r="R504" t="s">
        <v>93</v>
      </c>
      <c r="S504" t="s">
        <v>107</v>
      </c>
      <c r="T504" t="s">
        <v>114</v>
      </c>
    </row>
    <row r="505" spans="1:20">
      <c r="A505" t="s">
        <v>25</v>
      </c>
      <c r="B505" t="s">
        <v>32</v>
      </c>
      <c r="C505" t="s">
        <v>37</v>
      </c>
      <c r="E505" s="2">
        <v>46034.13188657408</v>
      </c>
      <c r="F505" s="2">
        <v>46034.13300925926</v>
      </c>
      <c r="G505" t="s">
        <v>50</v>
      </c>
      <c r="H505" t="s">
        <v>51</v>
      </c>
      <c r="I505">
        <v>3</v>
      </c>
      <c r="J505">
        <v>3</v>
      </c>
      <c r="K505" t="s">
        <v>53</v>
      </c>
      <c r="L505" t="s">
        <v>62</v>
      </c>
      <c r="M505" t="s">
        <v>69</v>
      </c>
      <c r="N505" t="s">
        <v>76</v>
      </c>
      <c r="O505">
        <v>97</v>
      </c>
      <c r="P505" t="s">
        <v>81</v>
      </c>
      <c r="Q505" t="s">
        <v>85</v>
      </c>
      <c r="R505" t="s">
        <v>93</v>
      </c>
      <c r="S505" t="s">
        <v>107</v>
      </c>
      <c r="T505" t="s">
        <v>114</v>
      </c>
    </row>
    <row r="506" spans="1:20">
      <c r="A506" t="s">
        <v>23</v>
      </c>
      <c r="B506" t="s">
        <v>30</v>
      </c>
      <c r="C506" t="s">
        <v>36</v>
      </c>
      <c r="E506" s="2">
        <v>46034.13194444445</v>
      </c>
      <c r="F506" s="2">
        <v>46034.1462962963</v>
      </c>
      <c r="G506" t="s">
        <v>50</v>
      </c>
      <c r="H506" t="s">
        <v>51</v>
      </c>
      <c r="I506">
        <v>3</v>
      </c>
      <c r="J506">
        <v>3</v>
      </c>
      <c r="K506" t="s">
        <v>55</v>
      </c>
      <c r="L506" t="s">
        <v>65</v>
      </c>
      <c r="M506" t="s">
        <v>69</v>
      </c>
      <c r="N506" t="s">
        <v>74</v>
      </c>
      <c r="O506">
        <v>1240</v>
      </c>
      <c r="P506" t="s">
        <v>79</v>
      </c>
      <c r="Q506" t="s">
        <v>85</v>
      </c>
      <c r="R506" t="s">
        <v>91</v>
      </c>
      <c r="S506" t="s">
        <v>105</v>
      </c>
      <c r="T506" t="s">
        <v>114</v>
      </c>
    </row>
    <row r="507" spans="1:20">
      <c r="A507" t="s">
        <v>24</v>
      </c>
      <c r="B507" t="s">
        <v>31</v>
      </c>
      <c r="C507" t="s">
        <v>38</v>
      </c>
      <c r="E507" s="2">
        <v>46034.13212962963</v>
      </c>
      <c r="F507" s="2">
        <v>46034.13354166667</v>
      </c>
      <c r="G507" t="s">
        <v>50</v>
      </c>
      <c r="H507" t="s">
        <v>51</v>
      </c>
      <c r="I507">
        <v>3</v>
      </c>
      <c r="J507">
        <v>3</v>
      </c>
      <c r="K507" t="s">
        <v>56</v>
      </c>
      <c r="L507" t="s">
        <v>67</v>
      </c>
      <c r="N507" t="s">
        <v>74</v>
      </c>
      <c r="O507">
        <v>122</v>
      </c>
      <c r="P507" t="s">
        <v>79</v>
      </c>
      <c r="Q507" t="s">
        <v>85</v>
      </c>
      <c r="R507" t="s">
        <v>91</v>
      </c>
      <c r="S507" t="s">
        <v>105</v>
      </c>
      <c r="T507" t="s">
        <v>114</v>
      </c>
    </row>
    <row r="508" spans="1:20">
      <c r="A508" t="s">
        <v>25</v>
      </c>
      <c r="B508" t="s">
        <v>32</v>
      </c>
      <c r="C508" t="s">
        <v>37</v>
      </c>
      <c r="E508" s="2">
        <v>46034.13300925926</v>
      </c>
      <c r="F508" s="2">
        <v>46034.1333912037</v>
      </c>
      <c r="G508" t="s">
        <v>50</v>
      </c>
      <c r="H508" t="s">
        <v>51</v>
      </c>
      <c r="I508">
        <v>3</v>
      </c>
      <c r="J508">
        <v>3</v>
      </c>
      <c r="K508" t="s">
        <v>53</v>
      </c>
      <c r="L508" t="s">
        <v>62</v>
      </c>
      <c r="M508" t="s">
        <v>69</v>
      </c>
      <c r="N508" t="s">
        <v>74</v>
      </c>
      <c r="O508">
        <v>33</v>
      </c>
      <c r="P508" t="s">
        <v>81</v>
      </c>
      <c r="Q508" t="s">
        <v>85</v>
      </c>
      <c r="R508" t="s">
        <v>93</v>
      </c>
      <c r="S508" t="s">
        <v>107</v>
      </c>
      <c r="T508" t="s">
        <v>114</v>
      </c>
    </row>
    <row r="509" spans="1:20">
      <c r="A509" t="s">
        <v>25</v>
      </c>
      <c r="B509" t="s">
        <v>32</v>
      </c>
      <c r="C509" t="s">
        <v>38</v>
      </c>
      <c r="E509" s="2">
        <v>46034.1333912037</v>
      </c>
      <c r="F509" s="2">
        <v>46034.16476851852</v>
      </c>
      <c r="G509" t="s">
        <v>50</v>
      </c>
      <c r="H509" t="s">
        <v>51</v>
      </c>
      <c r="I509">
        <v>3</v>
      </c>
      <c r="J509">
        <v>3</v>
      </c>
      <c r="K509" t="s">
        <v>53</v>
      </c>
      <c r="L509" t="s">
        <v>62</v>
      </c>
      <c r="M509" t="s">
        <v>69</v>
      </c>
      <c r="N509" t="s">
        <v>74</v>
      </c>
      <c r="O509">
        <v>2711</v>
      </c>
      <c r="P509" t="s">
        <v>79</v>
      </c>
      <c r="Q509" t="s">
        <v>85</v>
      </c>
      <c r="R509" t="s">
        <v>91</v>
      </c>
      <c r="S509" t="s">
        <v>105</v>
      </c>
      <c r="T509" t="s">
        <v>114</v>
      </c>
    </row>
    <row r="510" spans="1:20">
      <c r="A510" t="s">
        <v>24</v>
      </c>
      <c r="B510" t="s">
        <v>31</v>
      </c>
      <c r="C510" t="s">
        <v>37</v>
      </c>
      <c r="E510" s="2">
        <v>46034.13354166667</v>
      </c>
      <c r="F510" s="2">
        <v>46034.13398148148</v>
      </c>
      <c r="G510" t="s">
        <v>50</v>
      </c>
      <c r="H510" t="s">
        <v>51</v>
      </c>
      <c r="I510">
        <v>3</v>
      </c>
      <c r="J510">
        <v>3</v>
      </c>
      <c r="K510" t="s">
        <v>56</v>
      </c>
      <c r="L510" t="s">
        <v>67</v>
      </c>
      <c r="N510" t="s">
        <v>75</v>
      </c>
      <c r="O510">
        <v>38</v>
      </c>
      <c r="P510" t="s">
        <v>81</v>
      </c>
      <c r="Q510" t="s">
        <v>85</v>
      </c>
      <c r="R510" t="s">
        <v>93</v>
      </c>
      <c r="S510" t="s">
        <v>107</v>
      </c>
      <c r="T510" t="s">
        <v>114</v>
      </c>
    </row>
    <row r="511" spans="1:20">
      <c r="A511" t="s">
        <v>24</v>
      </c>
      <c r="B511" t="s">
        <v>31</v>
      </c>
      <c r="C511" t="s">
        <v>37</v>
      </c>
      <c r="E511" s="2">
        <v>46034.13398148148</v>
      </c>
      <c r="F511" s="2">
        <v>46034.13402777778</v>
      </c>
      <c r="G511" t="s">
        <v>50</v>
      </c>
      <c r="H511" t="s">
        <v>51</v>
      </c>
      <c r="I511">
        <v>3</v>
      </c>
      <c r="J511">
        <v>3</v>
      </c>
      <c r="K511" t="s">
        <v>56</v>
      </c>
      <c r="L511" t="s">
        <v>67</v>
      </c>
      <c r="N511" t="s">
        <v>74</v>
      </c>
      <c r="O511">
        <v>4</v>
      </c>
      <c r="P511" t="s">
        <v>81</v>
      </c>
      <c r="Q511" t="s">
        <v>85</v>
      </c>
      <c r="R511" t="s">
        <v>93</v>
      </c>
      <c r="S511" t="s">
        <v>107</v>
      </c>
      <c r="T511" t="s">
        <v>114</v>
      </c>
    </row>
    <row r="512" spans="1:20">
      <c r="A512" t="s">
        <v>24</v>
      </c>
      <c r="B512" t="s">
        <v>31</v>
      </c>
      <c r="C512" t="s">
        <v>39</v>
      </c>
      <c r="E512" s="2">
        <v>46034.13402777778</v>
      </c>
      <c r="F512" s="2">
        <v>46034.13476851852</v>
      </c>
      <c r="G512" t="s">
        <v>50</v>
      </c>
      <c r="H512" t="s">
        <v>51</v>
      </c>
      <c r="I512">
        <v>3</v>
      </c>
      <c r="J512">
        <v>3</v>
      </c>
      <c r="K512" t="s">
        <v>56</v>
      </c>
      <c r="L512" t="s">
        <v>67</v>
      </c>
      <c r="N512" t="s">
        <v>74</v>
      </c>
      <c r="O512">
        <v>64</v>
      </c>
      <c r="P512" t="s">
        <v>81</v>
      </c>
      <c r="Q512" t="s">
        <v>85</v>
      </c>
      <c r="R512" t="s">
        <v>93</v>
      </c>
      <c r="S512" t="s">
        <v>107</v>
      </c>
      <c r="T512" t="s">
        <v>114</v>
      </c>
    </row>
    <row r="513" spans="1:20">
      <c r="A513" t="s">
        <v>24</v>
      </c>
      <c r="B513" t="s">
        <v>31</v>
      </c>
      <c r="C513" t="s">
        <v>37</v>
      </c>
      <c r="E513" s="2">
        <v>46034.13476851852</v>
      </c>
      <c r="F513" s="2">
        <v>46034.13489583333</v>
      </c>
      <c r="G513" t="s">
        <v>50</v>
      </c>
      <c r="H513" t="s">
        <v>51</v>
      </c>
      <c r="I513">
        <v>3</v>
      </c>
      <c r="J513">
        <v>3</v>
      </c>
      <c r="K513" t="s">
        <v>56</v>
      </c>
      <c r="L513" t="s">
        <v>67</v>
      </c>
      <c r="N513" t="s">
        <v>74</v>
      </c>
      <c r="O513">
        <v>11</v>
      </c>
      <c r="P513" t="s">
        <v>81</v>
      </c>
      <c r="Q513" t="s">
        <v>85</v>
      </c>
      <c r="R513" t="s">
        <v>93</v>
      </c>
      <c r="S513" t="s">
        <v>107</v>
      </c>
      <c r="T513" t="s">
        <v>114</v>
      </c>
    </row>
    <row r="514" spans="1:20">
      <c r="A514" t="s">
        <v>24</v>
      </c>
      <c r="B514" t="s">
        <v>31</v>
      </c>
      <c r="C514" t="s">
        <v>37</v>
      </c>
      <c r="E514" s="2">
        <v>46034.13489583333</v>
      </c>
      <c r="F514" s="2">
        <v>46034.13527777778</v>
      </c>
      <c r="G514" t="s">
        <v>50</v>
      </c>
      <c r="H514" t="s">
        <v>51</v>
      </c>
      <c r="I514">
        <v>3</v>
      </c>
      <c r="J514">
        <v>3</v>
      </c>
      <c r="K514" t="s">
        <v>56</v>
      </c>
      <c r="L514" t="s">
        <v>67</v>
      </c>
      <c r="N514" t="s">
        <v>76</v>
      </c>
      <c r="O514">
        <v>33</v>
      </c>
      <c r="P514" t="s">
        <v>81</v>
      </c>
      <c r="Q514" t="s">
        <v>85</v>
      </c>
      <c r="R514" t="s">
        <v>93</v>
      </c>
      <c r="S514" t="s">
        <v>107</v>
      </c>
      <c r="T514" t="s">
        <v>114</v>
      </c>
    </row>
    <row r="515" spans="1:20">
      <c r="A515" t="s">
        <v>24</v>
      </c>
      <c r="B515" t="s">
        <v>31</v>
      </c>
      <c r="C515" t="s">
        <v>37</v>
      </c>
      <c r="E515" s="2">
        <v>46034.13527777778</v>
      </c>
      <c r="F515" s="2">
        <v>46034.1360300926</v>
      </c>
      <c r="G515" t="s">
        <v>50</v>
      </c>
      <c r="H515" t="s">
        <v>51</v>
      </c>
      <c r="I515">
        <v>3</v>
      </c>
      <c r="J515">
        <v>3</v>
      </c>
      <c r="K515" t="s">
        <v>56</v>
      </c>
      <c r="L515" t="s">
        <v>67</v>
      </c>
      <c r="N515" t="s">
        <v>74</v>
      </c>
      <c r="O515">
        <v>65</v>
      </c>
      <c r="P515" t="s">
        <v>81</v>
      </c>
      <c r="Q515" t="s">
        <v>85</v>
      </c>
      <c r="R515" t="s">
        <v>93</v>
      </c>
      <c r="S515" t="s">
        <v>107</v>
      </c>
      <c r="T515" t="s">
        <v>114</v>
      </c>
    </row>
    <row r="516" spans="1:20">
      <c r="A516" t="s">
        <v>24</v>
      </c>
      <c r="B516" t="s">
        <v>31</v>
      </c>
      <c r="C516" t="s">
        <v>38</v>
      </c>
      <c r="E516" s="2">
        <v>46034.1360300926</v>
      </c>
      <c r="F516" s="2">
        <v>46034.13631944444</v>
      </c>
      <c r="G516" t="s">
        <v>50</v>
      </c>
      <c r="H516" t="s">
        <v>51</v>
      </c>
      <c r="I516">
        <v>3</v>
      </c>
      <c r="J516">
        <v>3</v>
      </c>
      <c r="K516" t="s">
        <v>56</v>
      </c>
      <c r="L516" t="s">
        <v>67</v>
      </c>
      <c r="N516" t="s">
        <v>74</v>
      </c>
      <c r="O516">
        <v>25</v>
      </c>
      <c r="P516" t="s">
        <v>79</v>
      </c>
      <c r="Q516" t="s">
        <v>85</v>
      </c>
      <c r="R516" t="s">
        <v>91</v>
      </c>
      <c r="S516" t="s">
        <v>105</v>
      </c>
      <c r="T516" t="s">
        <v>114</v>
      </c>
    </row>
    <row r="517" spans="1:20">
      <c r="A517" t="s">
        <v>24</v>
      </c>
      <c r="B517" t="s">
        <v>31</v>
      </c>
      <c r="C517" t="s">
        <v>36</v>
      </c>
      <c r="E517" s="2">
        <v>46034.13631944444</v>
      </c>
      <c r="F517" s="2">
        <v>46034.16370370371</v>
      </c>
      <c r="G517" t="s">
        <v>50</v>
      </c>
      <c r="H517" t="s">
        <v>51</v>
      </c>
      <c r="I517">
        <v>3</v>
      </c>
      <c r="J517">
        <v>3</v>
      </c>
      <c r="K517" t="s">
        <v>56</v>
      </c>
      <c r="L517" t="s">
        <v>67</v>
      </c>
      <c r="N517" t="s">
        <v>74</v>
      </c>
      <c r="O517">
        <v>2366</v>
      </c>
      <c r="P517" t="s">
        <v>79</v>
      </c>
      <c r="Q517" t="s">
        <v>85</v>
      </c>
      <c r="R517" t="s">
        <v>91</v>
      </c>
      <c r="S517" t="s">
        <v>105</v>
      </c>
      <c r="T517" t="s">
        <v>114</v>
      </c>
    </row>
    <row r="518" spans="1:20">
      <c r="A518" t="s">
        <v>22</v>
      </c>
      <c r="B518" t="s">
        <v>29</v>
      </c>
      <c r="C518" t="s">
        <v>38</v>
      </c>
      <c r="E518" s="2">
        <v>46034.13724537037</v>
      </c>
      <c r="F518" s="2">
        <v>46034.13761574074</v>
      </c>
      <c r="G518" t="s">
        <v>50</v>
      </c>
      <c r="H518" t="s">
        <v>51</v>
      </c>
      <c r="I518">
        <v>3</v>
      </c>
      <c r="J518">
        <v>3</v>
      </c>
      <c r="K518" t="s">
        <v>54</v>
      </c>
      <c r="L518" t="s">
        <v>64</v>
      </c>
      <c r="M518" t="s">
        <v>69</v>
      </c>
      <c r="N518" t="s">
        <v>74</v>
      </c>
      <c r="O518">
        <v>32</v>
      </c>
      <c r="P518" t="s">
        <v>79</v>
      </c>
      <c r="Q518" t="s">
        <v>85</v>
      </c>
      <c r="R518" t="s">
        <v>91</v>
      </c>
      <c r="S518" t="s">
        <v>105</v>
      </c>
      <c r="T518" t="s">
        <v>114</v>
      </c>
    </row>
    <row r="519" spans="1:20">
      <c r="A519" t="s">
        <v>22</v>
      </c>
      <c r="B519" t="s">
        <v>29</v>
      </c>
      <c r="C519" t="s">
        <v>37</v>
      </c>
      <c r="E519" s="2">
        <v>46034.13761574074</v>
      </c>
      <c r="F519" s="2">
        <v>46034.13797453704</v>
      </c>
      <c r="G519" t="s">
        <v>50</v>
      </c>
      <c r="H519" t="s">
        <v>51</v>
      </c>
      <c r="I519">
        <v>3</v>
      </c>
      <c r="J519">
        <v>3</v>
      </c>
      <c r="K519" t="s">
        <v>54</v>
      </c>
      <c r="L519" t="s">
        <v>64</v>
      </c>
      <c r="M519" t="s">
        <v>69</v>
      </c>
      <c r="N519" t="s">
        <v>74</v>
      </c>
      <c r="O519">
        <v>31</v>
      </c>
      <c r="P519" t="s">
        <v>81</v>
      </c>
      <c r="Q519" t="s">
        <v>85</v>
      </c>
      <c r="R519" t="s">
        <v>93</v>
      </c>
      <c r="S519" t="s">
        <v>107</v>
      </c>
      <c r="T519" t="s">
        <v>114</v>
      </c>
    </row>
    <row r="520" spans="1:20">
      <c r="A520" t="s">
        <v>22</v>
      </c>
      <c r="B520" t="s">
        <v>29</v>
      </c>
      <c r="C520" t="s">
        <v>39</v>
      </c>
      <c r="E520" s="2">
        <v>46034.13797453704</v>
      </c>
      <c r="F520" s="2">
        <v>46034.14399305556</v>
      </c>
      <c r="G520" t="s">
        <v>50</v>
      </c>
      <c r="H520" t="s">
        <v>51</v>
      </c>
      <c r="I520">
        <v>3</v>
      </c>
      <c r="J520">
        <v>3</v>
      </c>
      <c r="K520" t="s">
        <v>54</v>
      </c>
      <c r="L520" t="s">
        <v>64</v>
      </c>
      <c r="M520" t="s">
        <v>69</v>
      </c>
      <c r="N520" t="s">
        <v>74</v>
      </c>
      <c r="O520">
        <v>520</v>
      </c>
      <c r="P520" t="s">
        <v>81</v>
      </c>
      <c r="Q520" t="s">
        <v>85</v>
      </c>
      <c r="R520" t="s">
        <v>93</v>
      </c>
      <c r="S520" t="s">
        <v>107</v>
      </c>
      <c r="T520" t="s">
        <v>114</v>
      </c>
    </row>
    <row r="521" spans="1:20">
      <c r="A521" t="s">
        <v>20</v>
      </c>
      <c r="B521" t="s">
        <v>27</v>
      </c>
      <c r="C521" t="s">
        <v>38</v>
      </c>
      <c r="E521" s="2">
        <v>46034.13905092593</v>
      </c>
      <c r="F521" s="2">
        <v>46034.13966435185</v>
      </c>
      <c r="G521" t="s">
        <v>50</v>
      </c>
      <c r="H521" t="s">
        <v>51</v>
      </c>
      <c r="I521">
        <v>3</v>
      </c>
      <c r="J521">
        <v>3</v>
      </c>
      <c r="K521" t="s">
        <v>52</v>
      </c>
      <c r="L521" t="s">
        <v>66</v>
      </c>
      <c r="O521">
        <v>53</v>
      </c>
      <c r="P521" t="s">
        <v>79</v>
      </c>
      <c r="Q521" t="s">
        <v>85</v>
      </c>
      <c r="R521" t="s">
        <v>91</v>
      </c>
      <c r="S521" t="s">
        <v>105</v>
      </c>
      <c r="T521" t="s">
        <v>114</v>
      </c>
    </row>
    <row r="522" spans="1:20">
      <c r="A522" t="s">
        <v>20</v>
      </c>
      <c r="B522" t="s">
        <v>27</v>
      </c>
      <c r="C522" t="s">
        <v>39</v>
      </c>
      <c r="E522" s="2">
        <v>46034.13966435185</v>
      </c>
      <c r="F522" s="2">
        <v>46034.14096064815</v>
      </c>
      <c r="G522" t="s">
        <v>50</v>
      </c>
      <c r="H522" t="s">
        <v>51</v>
      </c>
      <c r="I522">
        <v>3</v>
      </c>
      <c r="J522">
        <v>3</v>
      </c>
      <c r="K522" t="s">
        <v>52</v>
      </c>
      <c r="L522" t="s">
        <v>66</v>
      </c>
      <c r="O522">
        <v>112</v>
      </c>
      <c r="P522" t="s">
        <v>81</v>
      </c>
      <c r="Q522" t="s">
        <v>85</v>
      </c>
      <c r="R522" t="s">
        <v>93</v>
      </c>
      <c r="S522" t="s">
        <v>107</v>
      </c>
      <c r="T522" t="s">
        <v>114</v>
      </c>
    </row>
    <row r="523" spans="1:20">
      <c r="A523" t="s">
        <v>20</v>
      </c>
      <c r="B523" t="s">
        <v>27</v>
      </c>
      <c r="C523" t="s">
        <v>38</v>
      </c>
      <c r="E523" s="2">
        <v>46034.14096064815</v>
      </c>
      <c r="F523" s="2">
        <v>46034.14174768519</v>
      </c>
      <c r="G523" t="s">
        <v>50</v>
      </c>
      <c r="H523" t="s">
        <v>51</v>
      </c>
      <c r="I523">
        <v>3</v>
      </c>
      <c r="J523">
        <v>3</v>
      </c>
      <c r="K523" t="s">
        <v>52</v>
      </c>
      <c r="L523" t="s">
        <v>66</v>
      </c>
      <c r="O523">
        <v>68</v>
      </c>
      <c r="P523" t="s">
        <v>79</v>
      </c>
      <c r="Q523" t="s">
        <v>85</v>
      </c>
      <c r="R523" t="s">
        <v>91</v>
      </c>
      <c r="S523" t="s">
        <v>105</v>
      </c>
      <c r="T523" t="s">
        <v>114</v>
      </c>
    </row>
    <row r="524" spans="1:20">
      <c r="A524" t="s">
        <v>20</v>
      </c>
      <c r="B524" t="s">
        <v>27</v>
      </c>
      <c r="C524" t="s">
        <v>36</v>
      </c>
      <c r="E524" s="2">
        <v>46034.14174768519</v>
      </c>
      <c r="F524" s="2">
        <v>46034.15152777778</v>
      </c>
      <c r="G524" t="s">
        <v>50</v>
      </c>
      <c r="H524" t="s">
        <v>51</v>
      </c>
      <c r="I524">
        <v>3</v>
      </c>
      <c r="J524">
        <v>3</v>
      </c>
      <c r="K524" t="s">
        <v>52</v>
      </c>
      <c r="L524" t="s">
        <v>66</v>
      </c>
      <c r="O524">
        <v>845</v>
      </c>
      <c r="P524" t="s">
        <v>79</v>
      </c>
      <c r="Q524" t="s">
        <v>85</v>
      </c>
      <c r="R524" t="s">
        <v>91</v>
      </c>
      <c r="S524" t="s">
        <v>105</v>
      </c>
      <c r="T524" t="s">
        <v>114</v>
      </c>
    </row>
    <row r="525" spans="1:20">
      <c r="A525" t="s">
        <v>22</v>
      </c>
      <c r="B525" t="s">
        <v>29</v>
      </c>
      <c r="C525" t="s">
        <v>37</v>
      </c>
      <c r="E525" s="2">
        <v>46034.14399305556</v>
      </c>
      <c r="F525" s="2">
        <v>46034.145</v>
      </c>
      <c r="G525" t="s">
        <v>50</v>
      </c>
      <c r="H525" t="s">
        <v>51</v>
      </c>
      <c r="I525">
        <v>3</v>
      </c>
      <c r="J525">
        <v>3</v>
      </c>
      <c r="K525" t="s">
        <v>54</v>
      </c>
      <c r="L525" t="s">
        <v>64</v>
      </c>
      <c r="M525" t="s">
        <v>69</v>
      </c>
      <c r="N525" t="s">
        <v>74</v>
      </c>
      <c r="O525">
        <v>87</v>
      </c>
      <c r="P525" t="s">
        <v>81</v>
      </c>
      <c r="Q525" t="s">
        <v>85</v>
      </c>
      <c r="R525" t="s">
        <v>93</v>
      </c>
      <c r="S525" t="s">
        <v>107</v>
      </c>
      <c r="T525" t="s">
        <v>114</v>
      </c>
    </row>
    <row r="526" spans="1:20">
      <c r="A526" t="s">
        <v>22</v>
      </c>
      <c r="B526" t="s">
        <v>29</v>
      </c>
      <c r="C526" t="s">
        <v>38</v>
      </c>
      <c r="E526" s="2">
        <v>46034.145</v>
      </c>
      <c r="F526" s="2">
        <v>46034.14518518518</v>
      </c>
      <c r="G526" t="s">
        <v>50</v>
      </c>
      <c r="H526" t="s">
        <v>51</v>
      </c>
      <c r="I526">
        <v>3</v>
      </c>
      <c r="J526">
        <v>3</v>
      </c>
      <c r="K526" t="s">
        <v>54</v>
      </c>
      <c r="L526" t="s">
        <v>64</v>
      </c>
      <c r="M526" t="s">
        <v>69</v>
      </c>
      <c r="N526" t="s">
        <v>74</v>
      </c>
      <c r="O526">
        <v>16</v>
      </c>
      <c r="P526" t="s">
        <v>79</v>
      </c>
      <c r="Q526" t="s">
        <v>85</v>
      </c>
      <c r="R526" t="s">
        <v>91</v>
      </c>
      <c r="S526" t="s">
        <v>105</v>
      </c>
      <c r="T526" t="s">
        <v>114</v>
      </c>
    </row>
    <row r="527" spans="1:20">
      <c r="A527" t="s">
        <v>22</v>
      </c>
      <c r="B527" t="s">
        <v>29</v>
      </c>
      <c r="C527" t="s">
        <v>36</v>
      </c>
      <c r="E527" s="2">
        <v>46034.14518518518</v>
      </c>
      <c r="F527" s="2">
        <v>46034.16666666666</v>
      </c>
      <c r="G527" t="s">
        <v>50</v>
      </c>
      <c r="H527" t="s">
        <v>51</v>
      </c>
      <c r="I527">
        <v>3</v>
      </c>
      <c r="J527">
        <v>3</v>
      </c>
      <c r="K527" t="s">
        <v>54</v>
      </c>
      <c r="L527" t="s">
        <v>64</v>
      </c>
      <c r="M527" t="s">
        <v>69</v>
      </c>
      <c r="N527" t="s">
        <v>74</v>
      </c>
      <c r="O527">
        <v>1856</v>
      </c>
      <c r="P527" t="s">
        <v>79</v>
      </c>
      <c r="Q527" t="s">
        <v>85</v>
      </c>
      <c r="R527" t="s">
        <v>91</v>
      </c>
      <c r="S527" t="s">
        <v>105</v>
      </c>
      <c r="T527" t="s">
        <v>114</v>
      </c>
    </row>
    <row r="528" spans="1:20">
      <c r="A528" t="s">
        <v>21</v>
      </c>
      <c r="B528" t="s">
        <v>28</v>
      </c>
      <c r="C528" t="s">
        <v>35</v>
      </c>
      <c r="D528" t="s">
        <v>45</v>
      </c>
      <c r="E528" s="2">
        <v>46034.14539351852</v>
      </c>
      <c r="F528" s="2">
        <v>46034.14540509259</v>
      </c>
      <c r="G528" t="s">
        <v>50</v>
      </c>
      <c r="H528" t="s">
        <v>51</v>
      </c>
      <c r="I528">
        <v>3</v>
      </c>
      <c r="J528">
        <v>3</v>
      </c>
      <c r="K528" t="s">
        <v>53</v>
      </c>
      <c r="L528" t="s">
        <v>58</v>
      </c>
      <c r="M528" t="s">
        <v>69</v>
      </c>
      <c r="N528" t="s">
        <v>74</v>
      </c>
      <c r="O528">
        <v>1</v>
      </c>
      <c r="P528" t="s">
        <v>45</v>
      </c>
      <c r="Q528" t="s">
        <v>84</v>
      </c>
      <c r="R528" t="s">
        <v>95</v>
      </c>
      <c r="S528" t="s">
        <v>109</v>
      </c>
      <c r="T528" t="s">
        <v>115</v>
      </c>
    </row>
    <row r="529" spans="1:20">
      <c r="A529" t="s">
        <v>21</v>
      </c>
      <c r="B529" t="s">
        <v>28</v>
      </c>
      <c r="C529" t="s">
        <v>35</v>
      </c>
      <c r="D529" t="s">
        <v>45</v>
      </c>
      <c r="E529" s="2">
        <v>46034.14540509259</v>
      </c>
      <c r="F529" s="2">
        <v>46034.14575231481</v>
      </c>
      <c r="G529" t="s">
        <v>50</v>
      </c>
      <c r="H529" t="s">
        <v>51</v>
      </c>
      <c r="I529">
        <v>3</v>
      </c>
      <c r="J529">
        <v>3</v>
      </c>
      <c r="K529" t="s">
        <v>53</v>
      </c>
      <c r="L529" t="s">
        <v>58</v>
      </c>
      <c r="M529" t="s">
        <v>69</v>
      </c>
      <c r="N529" t="s">
        <v>75</v>
      </c>
      <c r="O529">
        <v>30</v>
      </c>
      <c r="P529" t="s">
        <v>45</v>
      </c>
      <c r="Q529" t="s">
        <v>84</v>
      </c>
      <c r="R529" t="s">
        <v>95</v>
      </c>
      <c r="S529" t="s">
        <v>109</v>
      </c>
      <c r="T529" t="s">
        <v>115</v>
      </c>
    </row>
    <row r="530" spans="1:20">
      <c r="A530" t="s">
        <v>21</v>
      </c>
      <c r="B530" t="s">
        <v>28</v>
      </c>
      <c r="C530" t="s">
        <v>35</v>
      </c>
      <c r="D530" t="s">
        <v>45</v>
      </c>
      <c r="E530" s="2">
        <v>46034.14575231481</v>
      </c>
      <c r="F530" s="2">
        <v>46034.14584490741</v>
      </c>
      <c r="G530" t="s">
        <v>50</v>
      </c>
      <c r="H530" t="s">
        <v>51</v>
      </c>
      <c r="I530">
        <v>3</v>
      </c>
      <c r="J530">
        <v>3</v>
      </c>
      <c r="K530" t="s">
        <v>53</v>
      </c>
      <c r="L530" t="s">
        <v>58</v>
      </c>
      <c r="M530" t="s">
        <v>69</v>
      </c>
      <c r="N530" t="s">
        <v>74</v>
      </c>
      <c r="O530">
        <v>8</v>
      </c>
      <c r="P530" t="s">
        <v>45</v>
      </c>
      <c r="Q530" t="s">
        <v>84</v>
      </c>
      <c r="R530" t="s">
        <v>95</v>
      </c>
      <c r="S530" t="s">
        <v>109</v>
      </c>
      <c r="T530" t="s">
        <v>115</v>
      </c>
    </row>
    <row r="531" spans="1:20">
      <c r="A531" t="s">
        <v>21</v>
      </c>
      <c r="B531" t="s">
        <v>28</v>
      </c>
      <c r="C531" t="s">
        <v>35</v>
      </c>
      <c r="D531" t="s">
        <v>45</v>
      </c>
      <c r="E531" s="2">
        <v>46034.14584490741</v>
      </c>
      <c r="F531" s="2">
        <v>46034.14620370371</v>
      </c>
      <c r="G531" t="s">
        <v>50</v>
      </c>
      <c r="H531" t="s">
        <v>51</v>
      </c>
      <c r="I531">
        <v>3</v>
      </c>
      <c r="J531">
        <v>3</v>
      </c>
      <c r="K531" t="s">
        <v>53</v>
      </c>
      <c r="L531" t="s">
        <v>58</v>
      </c>
      <c r="M531" t="s">
        <v>69</v>
      </c>
      <c r="N531" t="s">
        <v>74</v>
      </c>
      <c r="O531">
        <v>31</v>
      </c>
      <c r="P531" t="s">
        <v>45</v>
      </c>
      <c r="Q531" t="s">
        <v>84</v>
      </c>
      <c r="R531" t="s">
        <v>95</v>
      </c>
      <c r="S531" t="s">
        <v>109</v>
      </c>
      <c r="T531" t="s">
        <v>115</v>
      </c>
    </row>
    <row r="532" spans="1:20">
      <c r="A532" t="s">
        <v>21</v>
      </c>
      <c r="B532" t="s">
        <v>28</v>
      </c>
      <c r="C532" t="s">
        <v>35</v>
      </c>
      <c r="D532" t="s">
        <v>45</v>
      </c>
      <c r="E532" s="2">
        <v>46034.14620370371</v>
      </c>
      <c r="F532" s="2">
        <v>46034.14644675926</v>
      </c>
      <c r="G532" t="s">
        <v>50</v>
      </c>
      <c r="H532" t="s">
        <v>51</v>
      </c>
      <c r="I532">
        <v>3</v>
      </c>
      <c r="J532">
        <v>3</v>
      </c>
      <c r="K532" t="s">
        <v>53</v>
      </c>
      <c r="L532" t="s">
        <v>58</v>
      </c>
      <c r="M532" t="s">
        <v>69</v>
      </c>
      <c r="N532" t="s">
        <v>74</v>
      </c>
      <c r="O532">
        <v>21</v>
      </c>
      <c r="P532" t="s">
        <v>45</v>
      </c>
      <c r="Q532" t="s">
        <v>84</v>
      </c>
      <c r="R532" t="s">
        <v>95</v>
      </c>
      <c r="S532" t="s">
        <v>109</v>
      </c>
      <c r="T532" t="s">
        <v>115</v>
      </c>
    </row>
    <row r="533" spans="1:20">
      <c r="A533" t="s">
        <v>23</v>
      </c>
      <c r="B533" t="s">
        <v>30</v>
      </c>
      <c r="C533" t="s">
        <v>35</v>
      </c>
      <c r="D533" t="s">
        <v>46</v>
      </c>
      <c r="E533" s="2">
        <v>46034.1462962963</v>
      </c>
      <c r="F533" s="2">
        <v>46034.16666666666</v>
      </c>
      <c r="G533" t="s">
        <v>50</v>
      </c>
      <c r="H533" t="s">
        <v>51</v>
      </c>
      <c r="I533">
        <v>3</v>
      </c>
      <c r="J533">
        <v>3</v>
      </c>
      <c r="K533" t="s">
        <v>55</v>
      </c>
      <c r="L533" t="s">
        <v>65</v>
      </c>
      <c r="M533" t="s">
        <v>69</v>
      </c>
      <c r="N533" t="s">
        <v>74</v>
      </c>
      <c r="O533">
        <v>1760</v>
      </c>
      <c r="P533" t="s">
        <v>46</v>
      </c>
      <c r="Q533" t="s">
        <v>84</v>
      </c>
      <c r="R533" t="s">
        <v>96</v>
      </c>
      <c r="S533" t="s">
        <v>110</v>
      </c>
      <c r="T533" t="s">
        <v>116</v>
      </c>
    </row>
    <row r="534" spans="1:20">
      <c r="A534" t="s">
        <v>21</v>
      </c>
      <c r="B534" t="s">
        <v>28</v>
      </c>
      <c r="C534" t="s">
        <v>35</v>
      </c>
      <c r="D534" t="s">
        <v>45</v>
      </c>
      <c r="E534" s="2">
        <v>46034.14644675926</v>
      </c>
      <c r="F534" s="2">
        <v>46034.14766203704</v>
      </c>
      <c r="G534" t="s">
        <v>50</v>
      </c>
      <c r="H534" t="s">
        <v>51</v>
      </c>
      <c r="I534">
        <v>3</v>
      </c>
      <c r="J534">
        <v>3</v>
      </c>
      <c r="K534" t="s">
        <v>53</v>
      </c>
      <c r="L534" t="s">
        <v>58</v>
      </c>
      <c r="M534" t="s">
        <v>69</v>
      </c>
      <c r="N534" t="s">
        <v>74</v>
      </c>
      <c r="O534">
        <v>105</v>
      </c>
      <c r="P534" t="s">
        <v>45</v>
      </c>
      <c r="Q534" t="s">
        <v>84</v>
      </c>
      <c r="R534" t="s">
        <v>95</v>
      </c>
      <c r="S534" t="s">
        <v>109</v>
      </c>
      <c r="T534" t="s">
        <v>115</v>
      </c>
    </row>
    <row r="535" spans="1:20">
      <c r="A535" t="s">
        <v>21</v>
      </c>
      <c r="B535" t="s">
        <v>28</v>
      </c>
      <c r="C535" t="s">
        <v>35</v>
      </c>
      <c r="D535" t="s">
        <v>45</v>
      </c>
      <c r="E535" s="2">
        <v>46034.14766203704</v>
      </c>
      <c r="F535" s="2">
        <v>46034.14923611111</v>
      </c>
      <c r="G535" t="s">
        <v>50</v>
      </c>
      <c r="H535" t="s">
        <v>51</v>
      </c>
      <c r="I535">
        <v>3</v>
      </c>
      <c r="J535">
        <v>3</v>
      </c>
      <c r="K535" t="s">
        <v>53</v>
      </c>
      <c r="L535" t="s">
        <v>58</v>
      </c>
      <c r="M535" t="s">
        <v>69</v>
      </c>
      <c r="N535" t="s">
        <v>74</v>
      </c>
      <c r="O535">
        <v>136</v>
      </c>
      <c r="P535" t="s">
        <v>45</v>
      </c>
      <c r="Q535" t="s">
        <v>84</v>
      </c>
      <c r="R535" t="s">
        <v>95</v>
      </c>
      <c r="S535" t="s">
        <v>109</v>
      </c>
      <c r="T535" t="s">
        <v>115</v>
      </c>
    </row>
    <row r="536" spans="1:20">
      <c r="A536" t="s">
        <v>21</v>
      </c>
      <c r="B536" t="s">
        <v>28</v>
      </c>
      <c r="C536" t="s">
        <v>35</v>
      </c>
      <c r="D536" t="s">
        <v>45</v>
      </c>
      <c r="E536" s="2">
        <v>46034.14923611111</v>
      </c>
      <c r="F536" s="2">
        <v>46034.14950231482</v>
      </c>
      <c r="G536" t="s">
        <v>50</v>
      </c>
      <c r="H536" t="s">
        <v>51</v>
      </c>
      <c r="I536">
        <v>3</v>
      </c>
      <c r="J536">
        <v>3</v>
      </c>
      <c r="K536" t="s">
        <v>53</v>
      </c>
      <c r="L536" t="s">
        <v>58</v>
      </c>
      <c r="M536" t="s">
        <v>69</v>
      </c>
      <c r="N536" t="s">
        <v>74</v>
      </c>
      <c r="O536">
        <v>23</v>
      </c>
      <c r="P536" t="s">
        <v>45</v>
      </c>
      <c r="Q536" t="s">
        <v>84</v>
      </c>
      <c r="R536" t="s">
        <v>95</v>
      </c>
      <c r="S536" t="s">
        <v>109</v>
      </c>
      <c r="T536" t="s">
        <v>115</v>
      </c>
    </row>
    <row r="537" spans="1:20">
      <c r="A537" t="s">
        <v>21</v>
      </c>
      <c r="B537" t="s">
        <v>28</v>
      </c>
      <c r="C537" t="s">
        <v>35</v>
      </c>
      <c r="D537" t="s">
        <v>45</v>
      </c>
      <c r="E537" s="2">
        <v>46034.14950231482</v>
      </c>
      <c r="F537" s="2">
        <v>46034.1527199074</v>
      </c>
      <c r="G537" t="s">
        <v>50</v>
      </c>
      <c r="H537" t="s">
        <v>51</v>
      </c>
      <c r="I537">
        <v>3</v>
      </c>
      <c r="J537">
        <v>3</v>
      </c>
      <c r="K537" t="s">
        <v>53</v>
      </c>
      <c r="L537" t="s">
        <v>58</v>
      </c>
      <c r="M537" t="s">
        <v>69</v>
      </c>
      <c r="N537" t="s">
        <v>74</v>
      </c>
      <c r="O537">
        <v>278</v>
      </c>
      <c r="P537" t="s">
        <v>45</v>
      </c>
      <c r="Q537" t="s">
        <v>84</v>
      </c>
      <c r="R537" t="s">
        <v>95</v>
      </c>
      <c r="S537" t="s">
        <v>109</v>
      </c>
      <c r="T537" t="s">
        <v>115</v>
      </c>
    </row>
    <row r="538" spans="1:20">
      <c r="A538" t="s">
        <v>26</v>
      </c>
      <c r="B538" t="s">
        <v>33</v>
      </c>
      <c r="C538" t="s">
        <v>37</v>
      </c>
      <c r="E538" s="2">
        <v>46034.14988425926</v>
      </c>
      <c r="F538" s="2">
        <v>46034.14990740741</v>
      </c>
      <c r="G538" t="s">
        <v>50</v>
      </c>
      <c r="H538" t="s">
        <v>51</v>
      </c>
      <c r="I538">
        <v>3</v>
      </c>
      <c r="J538">
        <v>3</v>
      </c>
      <c r="L538" t="s">
        <v>68</v>
      </c>
      <c r="M538" t="s">
        <v>71</v>
      </c>
      <c r="N538" t="s">
        <v>74</v>
      </c>
      <c r="O538">
        <v>2</v>
      </c>
      <c r="P538" t="s">
        <v>81</v>
      </c>
      <c r="Q538" t="s">
        <v>85</v>
      </c>
      <c r="R538" t="s">
        <v>93</v>
      </c>
      <c r="S538" t="s">
        <v>107</v>
      </c>
      <c r="T538" t="s">
        <v>114</v>
      </c>
    </row>
    <row r="539" spans="1:20">
      <c r="A539" t="s">
        <v>26</v>
      </c>
      <c r="B539" t="s">
        <v>33</v>
      </c>
      <c r="C539" t="s">
        <v>37</v>
      </c>
      <c r="E539" s="2">
        <v>46034.14990740741</v>
      </c>
      <c r="F539" s="2">
        <v>46034.15027777778</v>
      </c>
      <c r="G539" t="s">
        <v>50</v>
      </c>
      <c r="H539" t="s">
        <v>51</v>
      </c>
      <c r="I539">
        <v>3</v>
      </c>
      <c r="J539">
        <v>3</v>
      </c>
      <c r="L539" t="s">
        <v>68</v>
      </c>
      <c r="M539" t="s">
        <v>73</v>
      </c>
      <c r="N539" t="s">
        <v>75</v>
      </c>
      <c r="O539">
        <v>32</v>
      </c>
      <c r="P539" t="s">
        <v>81</v>
      </c>
      <c r="Q539" t="s">
        <v>85</v>
      </c>
      <c r="R539" t="s">
        <v>93</v>
      </c>
      <c r="S539" t="s">
        <v>107</v>
      </c>
      <c r="T539" t="s">
        <v>114</v>
      </c>
    </row>
    <row r="540" spans="1:20">
      <c r="A540" t="s">
        <v>26</v>
      </c>
      <c r="B540" t="s">
        <v>33</v>
      </c>
      <c r="C540" t="s">
        <v>37</v>
      </c>
      <c r="E540" s="2">
        <v>46034.15027777778</v>
      </c>
      <c r="F540" s="2">
        <v>46034.15098379629</v>
      </c>
      <c r="G540" t="s">
        <v>50</v>
      </c>
      <c r="H540" t="s">
        <v>51</v>
      </c>
      <c r="I540">
        <v>3</v>
      </c>
      <c r="J540">
        <v>3</v>
      </c>
      <c r="L540" t="s">
        <v>68</v>
      </c>
      <c r="M540" t="s">
        <v>71</v>
      </c>
      <c r="N540" t="s">
        <v>74</v>
      </c>
      <c r="O540">
        <v>61</v>
      </c>
      <c r="P540" t="s">
        <v>81</v>
      </c>
      <c r="Q540" t="s">
        <v>85</v>
      </c>
      <c r="R540" t="s">
        <v>93</v>
      </c>
      <c r="S540" t="s">
        <v>107</v>
      </c>
      <c r="T540" t="s">
        <v>114</v>
      </c>
    </row>
    <row r="541" spans="1:20">
      <c r="A541" t="s">
        <v>26</v>
      </c>
      <c r="B541" t="s">
        <v>33</v>
      </c>
      <c r="C541" t="s">
        <v>39</v>
      </c>
      <c r="E541" s="2">
        <v>46034.15098379629</v>
      </c>
      <c r="F541" s="2">
        <v>46034.15497685185</v>
      </c>
      <c r="G541" t="s">
        <v>50</v>
      </c>
      <c r="H541" t="s">
        <v>51</v>
      </c>
      <c r="I541">
        <v>3</v>
      </c>
      <c r="J541">
        <v>3</v>
      </c>
      <c r="L541" t="s">
        <v>68</v>
      </c>
      <c r="M541" t="s">
        <v>71</v>
      </c>
      <c r="N541" t="s">
        <v>74</v>
      </c>
      <c r="O541">
        <v>345</v>
      </c>
      <c r="P541" t="s">
        <v>81</v>
      </c>
      <c r="Q541" t="s">
        <v>85</v>
      </c>
      <c r="R541" t="s">
        <v>93</v>
      </c>
      <c r="S541" t="s">
        <v>107</v>
      </c>
      <c r="T541" t="s">
        <v>114</v>
      </c>
    </row>
    <row r="542" spans="1:20">
      <c r="A542" t="s">
        <v>20</v>
      </c>
      <c r="B542" t="s">
        <v>27</v>
      </c>
      <c r="C542" t="s">
        <v>38</v>
      </c>
      <c r="E542" s="2">
        <v>46034.15152777778</v>
      </c>
      <c r="F542" s="2">
        <v>46034.15304398148</v>
      </c>
      <c r="G542" t="s">
        <v>50</v>
      </c>
      <c r="H542" t="s">
        <v>51</v>
      </c>
      <c r="I542">
        <v>3</v>
      </c>
      <c r="J542">
        <v>3</v>
      </c>
      <c r="K542" t="s">
        <v>52</v>
      </c>
      <c r="L542" t="s">
        <v>66</v>
      </c>
      <c r="O542">
        <v>131</v>
      </c>
      <c r="P542" t="s">
        <v>79</v>
      </c>
      <c r="Q542" t="s">
        <v>85</v>
      </c>
      <c r="R542" t="s">
        <v>91</v>
      </c>
      <c r="S542" t="s">
        <v>105</v>
      </c>
      <c r="T542" t="s">
        <v>114</v>
      </c>
    </row>
    <row r="543" spans="1:20">
      <c r="A543" t="s">
        <v>21</v>
      </c>
      <c r="B543" t="s">
        <v>28</v>
      </c>
      <c r="C543" t="s">
        <v>35</v>
      </c>
      <c r="D543" t="s">
        <v>45</v>
      </c>
      <c r="E543" s="2">
        <v>46034.1527199074</v>
      </c>
      <c r="F543" s="2">
        <v>46034.15292824074</v>
      </c>
      <c r="G543" t="s">
        <v>50</v>
      </c>
      <c r="H543" t="s">
        <v>51</v>
      </c>
      <c r="I543">
        <v>3</v>
      </c>
      <c r="J543">
        <v>3</v>
      </c>
      <c r="K543" t="s">
        <v>53</v>
      </c>
      <c r="L543" t="s">
        <v>58</v>
      </c>
      <c r="M543" t="s">
        <v>69</v>
      </c>
      <c r="N543" t="s">
        <v>75</v>
      </c>
      <c r="O543">
        <v>18</v>
      </c>
      <c r="P543" t="s">
        <v>45</v>
      </c>
      <c r="Q543" t="s">
        <v>84</v>
      </c>
      <c r="R543" t="s">
        <v>95</v>
      </c>
      <c r="S543" t="s">
        <v>109</v>
      </c>
      <c r="T543" t="s">
        <v>115</v>
      </c>
    </row>
    <row r="544" spans="1:20">
      <c r="A544" t="s">
        <v>21</v>
      </c>
      <c r="B544" t="s">
        <v>28</v>
      </c>
      <c r="C544" t="s">
        <v>35</v>
      </c>
      <c r="D544" t="s">
        <v>45</v>
      </c>
      <c r="E544" s="2">
        <v>46034.15292824074</v>
      </c>
      <c r="F544" s="2">
        <v>46034.15443287037</v>
      </c>
      <c r="G544" t="s">
        <v>50</v>
      </c>
      <c r="H544" t="s">
        <v>51</v>
      </c>
      <c r="I544">
        <v>3</v>
      </c>
      <c r="J544">
        <v>3</v>
      </c>
      <c r="K544" t="s">
        <v>53</v>
      </c>
      <c r="L544" t="s">
        <v>58</v>
      </c>
      <c r="M544" t="s">
        <v>69</v>
      </c>
      <c r="N544" t="s">
        <v>74</v>
      </c>
      <c r="O544">
        <v>130</v>
      </c>
      <c r="P544" t="s">
        <v>45</v>
      </c>
      <c r="Q544" t="s">
        <v>84</v>
      </c>
      <c r="R544" t="s">
        <v>95</v>
      </c>
      <c r="S544" t="s">
        <v>109</v>
      </c>
      <c r="T544" t="s">
        <v>115</v>
      </c>
    </row>
    <row r="545" spans="1:20">
      <c r="A545" t="s">
        <v>20</v>
      </c>
      <c r="B545" t="s">
        <v>27</v>
      </c>
      <c r="C545" t="s">
        <v>39</v>
      </c>
      <c r="E545" s="2">
        <v>46034.15304398148</v>
      </c>
      <c r="F545" s="2">
        <v>46034.15401620371</v>
      </c>
      <c r="G545" t="s">
        <v>50</v>
      </c>
      <c r="H545" t="s">
        <v>51</v>
      </c>
      <c r="I545">
        <v>3</v>
      </c>
      <c r="J545">
        <v>3</v>
      </c>
      <c r="K545" t="s">
        <v>52</v>
      </c>
      <c r="L545" t="s">
        <v>66</v>
      </c>
      <c r="O545">
        <v>84</v>
      </c>
      <c r="P545" t="s">
        <v>81</v>
      </c>
      <c r="Q545" t="s">
        <v>85</v>
      </c>
      <c r="R545" t="s">
        <v>93</v>
      </c>
      <c r="S545" t="s">
        <v>107</v>
      </c>
      <c r="T545" t="s">
        <v>114</v>
      </c>
    </row>
    <row r="546" spans="1:20">
      <c r="A546" t="s">
        <v>20</v>
      </c>
      <c r="B546" t="s">
        <v>27</v>
      </c>
      <c r="C546" t="s">
        <v>38</v>
      </c>
      <c r="E546" s="2">
        <v>46034.15401620371</v>
      </c>
      <c r="F546" s="2">
        <v>46034.15771990741</v>
      </c>
      <c r="G546" t="s">
        <v>50</v>
      </c>
      <c r="H546" t="s">
        <v>51</v>
      </c>
      <c r="I546">
        <v>3</v>
      </c>
      <c r="J546">
        <v>3</v>
      </c>
      <c r="K546" t="s">
        <v>52</v>
      </c>
      <c r="L546" t="s">
        <v>66</v>
      </c>
      <c r="O546">
        <v>320</v>
      </c>
      <c r="P546" t="s">
        <v>79</v>
      </c>
      <c r="Q546" t="s">
        <v>85</v>
      </c>
      <c r="R546" t="s">
        <v>91</v>
      </c>
      <c r="S546" t="s">
        <v>105</v>
      </c>
      <c r="T546" t="s">
        <v>114</v>
      </c>
    </row>
    <row r="547" spans="1:20">
      <c r="A547" t="s">
        <v>21</v>
      </c>
      <c r="B547" t="s">
        <v>28</v>
      </c>
      <c r="C547" t="s">
        <v>35</v>
      </c>
      <c r="D547" t="s">
        <v>45</v>
      </c>
      <c r="E547" s="2">
        <v>46034.15443287037</v>
      </c>
      <c r="F547" s="2">
        <v>46034.15484953704</v>
      </c>
      <c r="G547" t="s">
        <v>50</v>
      </c>
      <c r="H547" t="s">
        <v>51</v>
      </c>
      <c r="I547">
        <v>3</v>
      </c>
      <c r="J547">
        <v>3</v>
      </c>
      <c r="K547" t="s">
        <v>53</v>
      </c>
      <c r="L547" t="s">
        <v>58</v>
      </c>
      <c r="M547" t="s">
        <v>69</v>
      </c>
      <c r="N547" t="s">
        <v>74</v>
      </c>
      <c r="O547">
        <v>36</v>
      </c>
      <c r="P547" t="s">
        <v>45</v>
      </c>
      <c r="Q547" t="s">
        <v>84</v>
      </c>
      <c r="R547" t="s">
        <v>95</v>
      </c>
      <c r="S547" t="s">
        <v>109</v>
      </c>
      <c r="T547" t="s">
        <v>115</v>
      </c>
    </row>
    <row r="548" spans="1:20">
      <c r="A548" t="s">
        <v>21</v>
      </c>
      <c r="B548" t="s">
        <v>28</v>
      </c>
      <c r="C548" t="s">
        <v>35</v>
      </c>
      <c r="D548" t="s">
        <v>45</v>
      </c>
      <c r="E548" s="2">
        <v>46034.15484953704</v>
      </c>
      <c r="F548" s="2">
        <v>46034.15626157408</v>
      </c>
      <c r="G548" t="s">
        <v>50</v>
      </c>
      <c r="H548" t="s">
        <v>51</v>
      </c>
      <c r="I548">
        <v>3</v>
      </c>
      <c r="J548">
        <v>3</v>
      </c>
      <c r="K548" t="s">
        <v>53</v>
      </c>
      <c r="L548" t="s">
        <v>58</v>
      </c>
      <c r="M548" t="s">
        <v>69</v>
      </c>
      <c r="N548" t="s">
        <v>74</v>
      </c>
      <c r="O548">
        <v>122</v>
      </c>
      <c r="P548" t="s">
        <v>45</v>
      </c>
      <c r="Q548" t="s">
        <v>84</v>
      </c>
      <c r="R548" t="s">
        <v>95</v>
      </c>
      <c r="S548" t="s">
        <v>109</v>
      </c>
      <c r="T548" t="s">
        <v>115</v>
      </c>
    </row>
    <row r="549" spans="1:20">
      <c r="A549" t="s">
        <v>26</v>
      </c>
      <c r="B549" t="s">
        <v>33</v>
      </c>
      <c r="C549" t="s">
        <v>37</v>
      </c>
      <c r="E549" s="2">
        <v>46034.15497685185</v>
      </c>
      <c r="F549" s="2">
        <v>46034.15498842593</v>
      </c>
      <c r="G549" t="s">
        <v>50</v>
      </c>
      <c r="H549" t="s">
        <v>51</v>
      </c>
      <c r="I549">
        <v>3</v>
      </c>
      <c r="J549">
        <v>3</v>
      </c>
      <c r="L549" t="s">
        <v>68</v>
      </c>
      <c r="M549" t="s">
        <v>71</v>
      </c>
      <c r="N549" t="s">
        <v>74</v>
      </c>
      <c r="O549">
        <v>1</v>
      </c>
      <c r="P549" t="s">
        <v>81</v>
      </c>
      <c r="Q549" t="s">
        <v>85</v>
      </c>
      <c r="R549" t="s">
        <v>93</v>
      </c>
      <c r="S549" t="s">
        <v>107</v>
      </c>
      <c r="T549" t="s">
        <v>114</v>
      </c>
    </row>
    <row r="550" spans="1:20">
      <c r="A550" t="s">
        <v>26</v>
      </c>
      <c r="B550" t="s">
        <v>33</v>
      </c>
      <c r="C550" t="s">
        <v>37</v>
      </c>
      <c r="E550" s="2">
        <v>46034.15498842593</v>
      </c>
      <c r="F550" s="2">
        <v>46034.15570601852</v>
      </c>
      <c r="G550" t="s">
        <v>50</v>
      </c>
      <c r="H550" t="s">
        <v>51</v>
      </c>
      <c r="I550">
        <v>3</v>
      </c>
      <c r="J550">
        <v>3</v>
      </c>
      <c r="L550" t="s">
        <v>68</v>
      </c>
      <c r="M550" t="s">
        <v>73</v>
      </c>
      <c r="N550" t="s">
        <v>76</v>
      </c>
      <c r="O550">
        <v>62</v>
      </c>
      <c r="P550" t="s">
        <v>81</v>
      </c>
      <c r="Q550" t="s">
        <v>85</v>
      </c>
      <c r="R550" t="s">
        <v>93</v>
      </c>
      <c r="S550" t="s">
        <v>107</v>
      </c>
      <c r="T550" t="s">
        <v>114</v>
      </c>
    </row>
    <row r="551" spans="1:20">
      <c r="A551" t="s">
        <v>26</v>
      </c>
      <c r="B551" t="s">
        <v>33</v>
      </c>
      <c r="C551" t="s">
        <v>37</v>
      </c>
      <c r="E551" s="2">
        <v>46034.15570601852</v>
      </c>
      <c r="F551" s="2">
        <v>46034.15613425926</v>
      </c>
      <c r="G551" t="s">
        <v>50</v>
      </c>
      <c r="H551" t="s">
        <v>51</v>
      </c>
      <c r="I551">
        <v>3</v>
      </c>
      <c r="J551">
        <v>3</v>
      </c>
      <c r="L551" t="s">
        <v>68</v>
      </c>
      <c r="M551" t="s">
        <v>71</v>
      </c>
      <c r="N551" t="s">
        <v>74</v>
      </c>
      <c r="O551">
        <v>37</v>
      </c>
      <c r="P551" t="s">
        <v>81</v>
      </c>
      <c r="Q551" t="s">
        <v>85</v>
      </c>
      <c r="R551" t="s">
        <v>93</v>
      </c>
      <c r="S551" t="s">
        <v>107</v>
      </c>
      <c r="T551" t="s">
        <v>114</v>
      </c>
    </row>
    <row r="552" spans="1:20">
      <c r="A552" t="s">
        <v>26</v>
      </c>
      <c r="B552" t="s">
        <v>33</v>
      </c>
      <c r="C552" t="s">
        <v>38</v>
      </c>
      <c r="E552" s="2">
        <v>46034.15613425926</v>
      </c>
      <c r="F552" s="2">
        <v>46034.16598379629</v>
      </c>
      <c r="G552" t="s">
        <v>50</v>
      </c>
      <c r="H552" t="s">
        <v>51</v>
      </c>
      <c r="I552">
        <v>3</v>
      </c>
      <c r="J552">
        <v>3</v>
      </c>
      <c r="L552" t="s">
        <v>68</v>
      </c>
      <c r="M552" t="s">
        <v>71</v>
      </c>
      <c r="N552" t="s">
        <v>74</v>
      </c>
      <c r="O552">
        <v>851</v>
      </c>
      <c r="P552" t="s">
        <v>79</v>
      </c>
      <c r="Q552" t="s">
        <v>85</v>
      </c>
      <c r="R552" t="s">
        <v>91</v>
      </c>
      <c r="S552" t="s">
        <v>105</v>
      </c>
      <c r="T552" t="s">
        <v>114</v>
      </c>
    </row>
    <row r="553" spans="1:20">
      <c r="A553" t="s">
        <v>21</v>
      </c>
      <c r="B553" t="s">
        <v>28</v>
      </c>
      <c r="C553" t="s">
        <v>35</v>
      </c>
      <c r="D553" t="s">
        <v>45</v>
      </c>
      <c r="E553" s="2">
        <v>46034.15626157408</v>
      </c>
      <c r="F553" s="2">
        <v>46034.15930555556</v>
      </c>
      <c r="G553" t="s">
        <v>50</v>
      </c>
      <c r="H553" t="s">
        <v>51</v>
      </c>
      <c r="I553">
        <v>3</v>
      </c>
      <c r="J553">
        <v>3</v>
      </c>
      <c r="K553" t="s">
        <v>53</v>
      </c>
      <c r="L553" t="s">
        <v>58</v>
      </c>
      <c r="M553" t="s">
        <v>69</v>
      </c>
      <c r="N553" t="s">
        <v>74</v>
      </c>
      <c r="O553">
        <v>263</v>
      </c>
      <c r="P553" t="s">
        <v>45</v>
      </c>
      <c r="Q553" t="s">
        <v>84</v>
      </c>
      <c r="R553" t="s">
        <v>95</v>
      </c>
      <c r="S553" t="s">
        <v>109</v>
      </c>
      <c r="T553" t="s">
        <v>115</v>
      </c>
    </row>
    <row r="554" spans="1:20">
      <c r="A554" t="s">
        <v>20</v>
      </c>
      <c r="B554" t="s">
        <v>27</v>
      </c>
      <c r="C554" t="s">
        <v>36</v>
      </c>
      <c r="E554" s="2">
        <v>46034.15771990741</v>
      </c>
      <c r="F554" s="2">
        <v>46034.16666666666</v>
      </c>
      <c r="G554" t="s">
        <v>50</v>
      </c>
      <c r="H554" t="s">
        <v>51</v>
      </c>
      <c r="I554">
        <v>3</v>
      </c>
      <c r="J554">
        <v>3</v>
      </c>
      <c r="K554" t="s">
        <v>52</v>
      </c>
      <c r="L554" t="s">
        <v>66</v>
      </c>
      <c r="O554">
        <v>773</v>
      </c>
      <c r="P554" t="s">
        <v>79</v>
      </c>
      <c r="Q554" t="s">
        <v>85</v>
      </c>
      <c r="R554" t="s">
        <v>91</v>
      </c>
      <c r="S554" t="s">
        <v>105</v>
      </c>
      <c r="T554" t="s">
        <v>114</v>
      </c>
    </row>
    <row r="555" spans="1:20">
      <c r="A555" t="s">
        <v>21</v>
      </c>
      <c r="B555" t="s">
        <v>28</v>
      </c>
      <c r="C555" t="s">
        <v>35</v>
      </c>
      <c r="D555" t="s">
        <v>45</v>
      </c>
      <c r="E555" s="2">
        <v>46034.15930555556</v>
      </c>
      <c r="F555" s="2">
        <v>46034.16295138889</v>
      </c>
      <c r="G555" t="s">
        <v>50</v>
      </c>
      <c r="H555" t="s">
        <v>51</v>
      </c>
      <c r="I555">
        <v>3</v>
      </c>
      <c r="J555">
        <v>3</v>
      </c>
      <c r="K555" t="s">
        <v>53</v>
      </c>
      <c r="L555" t="s">
        <v>58</v>
      </c>
      <c r="M555" t="s">
        <v>69</v>
      </c>
      <c r="N555" t="s">
        <v>74</v>
      </c>
      <c r="O555">
        <v>315</v>
      </c>
      <c r="P555" t="s">
        <v>45</v>
      </c>
      <c r="Q555" t="s">
        <v>84</v>
      </c>
      <c r="R555" t="s">
        <v>95</v>
      </c>
      <c r="S555" t="s">
        <v>109</v>
      </c>
      <c r="T555" t="s">
        <v>115</v>
      </c>
    </row>
    <row r="556" spans="1:20">
      <c r="A556" t="s">
        <v>21</v>
      </c>
      <c r="B556" t="s">
        <v>28</v>
      </c>
      <c r="C556" t="s">
        <v>35</v>
      </c>
      <c r="D556" t="s">
        <v>45</v>
      </c>
      <c r="E556" s="2">
        <v>46034.16295138889</v>
      </c>
      <c r="F556" s="2">
        <v>46034.16332175926</v>
      </c>
      <c r="G556" t="s">
        <v>50</v>
      </c>
      <c r="H556" t="s">
        <v>51</v>
      </c>
      <c r="I556">
        <v>3</v>
      </c>
      <c r="J556">
        <v>3</v>
      </c>
      <c r="K556" t="s">
        <v>53</v>
      </c>
      <c r="L556" t="s">
        <v>58</v>
      </c>
      <c r="M556" t="s">
        <v>69</v>
      </c>
      <c r="N556" t="s">
        <v>74</v>
      </c>
      <c r="O556">
        <v>32</v>
      </c>
      <c r="P556" t="s">
        <v>45</v>
      </c>
      <c r="Q556" t="s">
        <v>84</v>
      </c>
      <c r="R556" t="s">
        <v>95</v>
      </c>
      <c r="S556" t="s">
        <v>109</v>
      </c>
      <c r="T556" t="s">
        <v>115</v>
      </c>
    </row>
    <row r="557" spans="1:20">
      <c r="A557" t="s">
        <v>21</v>
      </c>
      <c r="B557" t="s">
        <v>28</v>
      </c>
      <c r="C557" t="s">
        <v>35</v>
      </c>
      <c r="D557" t="s">
        <v>45</v>
      </c>
      <c r="E557" s="2">
        <v>46034.16332175926</v>
      </c>
      <c r="F557" s="2">
        <v>46034.16447916667</v>
      </c>
      <c r="G557" t="s">
        <v>50</v>
      </c>
      <c r="H557" t="s">
        <v>51</v>
      </c>
      <c r="I557">
        <v>3</v>
      </c>
      <c r="J557">
        <v>3</v>
      </c>
      <c r="K557" t="s">
        <v>54</v>
      </c>
      <c r="L557" t="s">
        <v>58</v>
      </c>
      <c r="M557" t="s">
        <v>69</v>
      </c>
      <c r="N557" t="s">
        <v>74</v>
      </c>
      <c r="O557">
        <v>100</v>
      </c>
      <c r="P557" t="s">
        <v>45</v>
      </c>
      <c r="Q557" t="s">
        <v>84</v>
      </c>
      <c r="R557" t="s">
        <v>95</v>
      </c>
      <c r="S557" t="s">
        <v>109</v>
      </c>
      <c r="T557" t="s">
        <v>115</v>
      </c>
    </row>
    <row r="558" spans="1:20">
      <c r="A558" t="s">
        <v>24</v>
      </c>
      <c r="B558" t="s">
        <v>31</v>
      </c>
      <c r="C558" t="s">
        <v>38</v>
      </c>
      <c r="E558" s="2">
        <v>46034.16370370371</v>
      </c>
      <c r="F558" s="2">
        <v>46034.16623842593</v>
      </c>
      <c r="G558" t="s">
        <v>50</v>
      </c>
      <c r="H558" t="s">
        <v>51</v>
      </c>
      <c r="I558">
        <v>3</v>
      </c>
      <c r="J558">
        <v>3</v>
      </c>
      <c r="K558" t="s">
        <v>56</v>
      </c>
      <c r="L558" t="s">
        <v>67</v>
      </c>
      <c r="N558" t="s">
        <v>74</v>
      </c>
      <c r="O558">
        <v>219</v>
      </c>
      <c r="P558" t="s">
        <v>79</v>
      </c>
      <c r="Q558" t="s">
        <v>85</v>
      </c>
      <c r="R558" t="s">
        <v>91</v>
      </c>
      <c r="S558" t="s">
        <v>105</v>
      </c>
      <c r="T558" t="s">
        <v>114</v>
      </c>
    </row>
    <row r="559" spans="1:20">
      <c r="A559" t="s">
        <v>21</v>
      </c>
      <c r="B559" t="s">
        <v>28</v>
      </c>
      <c r="C559" t="s">
        <v>36</v>
      </c>
      <c r="E559" s="2">
        <v>46034.16447916667</v>
      </c>
      <c r="F559" s="2">
        <v>46034.16666666666</v>
      </c>
      <c r="G559" t="s">
        <v>50</v>
      </c>
      <c r="H559" t="s">
        <v>51</v>
      </c>
      <c r="I559">
        <v>3</v>
      </c>
      <c r="J559">
        <v>3</v>
      </c>
      <c r="K559" t="s">
        <v>54</v>
      </c>
      <c r="L559" t="s">
        <v>58</v>
      </c>
      <c r="M559" t="s">
        <v>69</v>
      </c>
      <c r="N559" t="s">
        <v>74</v>
      </c>
      <c r="O559">
        <v>189</v>
      </c>
      <c r="P559" t="s">
        <v>79</v>
      </c>
      <c r="Q559" t="s">
        <v>85</v>
      </c>
      <c r="R559" t="s">
        <v>91</v>
      </c>
      <c r="S559" t="s">
        <v>105</v>
      </c>
      <c r="T559" t="s">
        <v>114</v>
      </c>
    </row>
    <row r="560" spans="1:20">
      <c r="A560" t="s">
        <v>25</v>
      </c>
      <c r="B560" t="s">
        <v>32</v>
      </c>
      <c r="C560" t="s">
        <v>37</v>
      </c>
      <c r="E560" s="2">
        <v>46034.16476851852</v>
      </c>
      <c r="F560" s="2">
        <v>46034.16481481482</v>
      </c>
      <c r="G560" t="s">
        <v>50</v>
      </c>
      <c r="H560" t="s">
        <v>51</v>
      </c>
      <c r="I560">
        <v>3</v>
      </c>
      <c r="J560">
        <v>3</v>
      </c>
      <c r="K560" t="s">
        <v>53</v>
      </c>
      <c r="L560" t="s">
        <v>62</v>
      </c>
      <c r="M560" t="s">
        <v>69</v>
      </c>
      <c r="N560" t="s">
        <v>74</v>
      </c>
      <c r="O560">
        <v>4</v>
      </c>
      <c r="P560" t="s">
        <v>81</v>
      </c>
      <c r="Q560" t="s">
        <v>85</v>
      </c>
      <c r="R560" t="s">
        <v>93</v>
      </c>
      <c r="S560" t="s">
        <v>107</v>
      </c>
      <c r="T560" t="s">
        <v>114</v>
      </c>
    </row>
    <row r="561" spans="1:20">
      <c r="A561" t="s">
        <v>25</v>
      </c>
      <c r="B561" t="s">
        <v>32</v>
      </c>
      <c r="C561" t="s">
        <v>37</v>
      </c>
      <c r="E561" s="2">
        <v>46034.16481481482</v>
      </c>
      <c r="F561" s="2">
        <v>46034.16540509259</v>
      </c>
      <c r="G561" t="s">
        <v>50</v>
      </c>
      <c r="H561" t="s">
        <v>51</v>
      </c>
      <c r="I561">
        <v>3</v>
      </c>
      <c r="J561">
        <v>3</v>
      </c>
      <c r="K561" t="s">
        <v>53</v>
      </c>
      <c r="L561" t="s">
        <v>62</v>
      </c>
      <c r="M561" t="s">
        <v>69</v>
      </c>
      <c r="N561" t="s">
        <v>75</v>
      </c>
      <c r="O561">
        <v>51</v>
      </c>
      <c r="P561" t="s">
        <v>81</v>
      </c>
      <c r="Q561" t="s">
        <v>85</v>
      </c>
      <c r="R561" t="s">
        <v>93</v>
      </c>
      <c r="S561" t="s">
        <v>107</v>
      </c>
      <c r="T561" t="s">
        <v>114</v>
      </c>
    </row>
    <row r="562" spans="1:20">
      <c r="A562" t="s">
        <v>25</v>
      </c>
      <c r="B562" t="s">
        <v>32</v>
      </c>
      <c r="C562" t="s">
        <v>37</v>
      </c>
      <c r="E562" s="2">
        <v>46034.16540509259</v>
      </c>
      <c r="F562" s="2">
        <v>46034.16550925926</v>
      </c>
      <c r="G562" t="s">
        <v>50</v>
      </c>
      <c r="H562" t="s">
        <v>51</v>
      </c>
      <c r="I562">
        <v>3</v>
      </c>
      <c r="J562">
        <v>3</v>
      </c>
      <c r="K562" t="s">
        <v>53</v>
      </c>
      <c r="L562" t="s">
        <v>62</v>
      </c>
      <c r="M562" t="s">
        <v>69</v>
      </c>
      <c r="N562" t="s">
        <v>74</v>
      </c>
      <c r="O562">
        <v>9</v>
      </c>
      <c r="P562" t="s">
        <v>81</v>
      </c>
      <c r="Q562" t="s">
        <v>85</v>
      </c>
      <c r="R562" t="s">
        <v>93</v>
      </c>
      <c r="S562" t="s">
        <v>107</v>
      </c>
      <c r="T562" t="s">
        <v>114</v>
      </c>
    </row>
    <row r="563" spans="1:20">
      <c r="A563" t="s">
        <v>25</v>
      </c>
      <c r="B563" t="s">
        <v>32</v>
      </c>
      <c r="C563" t="s">
        <v>39</v>
      </c>
      <c r="E563" s="2">
        <v>46034.16550925926</v>
      </c>
      <c r="F563" s="2">
        <v>46034.16644675926</v>
      </c>
      <c r="G563" t="s">
        <v>50</v>
      </c>
      <c r="H563" t="s">
        <v>51</v>
      </c>
      <c r="I563">
        <v>3</v>
      </c>
      <c r="J563">
        <v>3</v>
      </c>
      <c r="K563" t="s">
        <v>53</v>
      </c>
      <c r="L563" t="s">
        <v>62</v>
      </c>
      <c r="M563" t="s">
        <v>69</v>
      </c>
      <c r="N563" t="s">
        <v>74</v>
      </c>
      <c r="O563">
        <v>81</v>
      </c>
      <c r="P563" t="s">
        <v>81</v>
      </c>
      <c r="Q563" t="s">
        <v>85</v>
      </c>
      <c r="R563" t="s">
        <v>93</v>
      </c>
      <c r="S563" t="s">
        <v>107</v>
      </c>
      <c r="T563" t="s">
        <v>114</v>
      </c>
    </row>
    <row r="564" spans="1:20">
      <c r="A564" t="s">
        <v>26</v>
      </c>
      <c r="B564" t="s">
        <v>33</v>
      </c>
      <c r="C564" t="s">
        <v>35</v>
      </c>
      <c r="D564" t="s">
        <v>47</v>
      </c>
      <c r="E564" s="2">
        <v>46034.16598379629</v>
      </c>
      <c r="F564" s="2">
        <v>46034.16601851852</v>
      </c>
      <c r="G564" t="s">
        <v>50</v>
      </c>
      <c r="H564" t="s">
        <v>51</v>
      </c>
      <c r="I564">
        <v>3</v>
      </c>
      <c r="J564">
        <v>3</v>
      </c>
      <c r="L564" t="s">
        <v>68</v>
      </c>
      <c r="M564" t="s">
        <v>71</v>
      </c>
      <c r="N564" t="s">
        <v>74</v>
      </c>
      <c r="O564">
        <v>3</v>
      </c>
      <c r="P564" t="s">
        <v>47</v>
      </c>
      <c r="Q564" t="s">
        <v>84</v>
      </c>
      <c r="R564" t="s">
        <v>97</v>
      </c>
      <c r="S564" t="s">
        <v>111</v>
      </c>
      <c r="T564" t="s">
        <v>116</v>
      </c>
    </row>
    <row r="565" spans="1:20">
      <c r="A565" t="s">
        <v>26</v>
      </c>
      <c r="B565" t="s">
        <v>33</v>
      </c>
      <c r="C565" t="s">
        <v>35</v>
      </c>
      <c r="D565" t="s">
        <v>47</v>
      </c>
      <c r="E565" s="2">
        <v>46034.16601851852</v>
      </c>
      <c r="F565" s="2">
        <v>46034.16666666666</v>
      </c>
      <c r="G565" t="s">
        <v>50</v>
      </c>
      <c r="H565" t="s">
        <v>51</v>
      </c>
      <c r="I565">
        <v>3</v>
      </c>
      <c r="J565">
        <v>3</v>
      </c>
      <c r="L565" t="s">
        <v>68</v>
      </c>
      <c r="M565" t="s">
        <v>70</v>
      </c>
      <c r="N565" t="s">
        <v>74</v>
      </c>
      <c r="O565">
        <v>56</v>
      </c>
      <c r="P565" t="s">
        <v>47</v>
      </c>
      <c r="Q565" t="s">
        <v>84</v>
      </c>
      <c r="R565" t="s">
        <v>97</v>
      </c>
      <c r="S565" t="s">
        <v>111</v>
      </c>
      <c r="T565" t="s">
        <v>116</v>
      </c>
    </row>
    <row r="566" spans="1:20">
      <c r="A566" t="s">
        <v>24</v>
      </c>
      <c r="B566" t="s">
        <v>31</v>
      </c>
      <c r="C566" t="s">
        <v>37</v>
      </c>
      <c r="E566" s="2">
        <v>46034.16623842593</v>
      </c>
      <c r="F566" s="2">
        <v>46034.16666666666</v>
      </c>
      <c r="G566" t="s">
        <v>50</v>
      </c>
      <c r="H566" t="s">
        <v>51</v>
      </c>
      <c r="I566">
        <v>3</v>
      </c>
      <c r="J566">
        <v>3</v>
      </c>
      <c r="K566" t="s">
        <v>56</v>
      </c>
      <c r="L566" t="s">
        <v>67</v>
      </c>
      <c r="N566" t="s">
        <v>75</v>
      </c>
      <c r="O566">
        <v>37</v>
      </c>
      <c r="P566" t="s">
        <v>81</v>
      </c>
      <c r="Q566" t="s">
        <v>85</v>
      </c>
      <c r="R566" t="s">
        <v>93</v>
      </c>
      <c r="S566" t="s">
        <v>107</v>
      </c>
      <c r="T566" t="s">
        <v>114</v>
      </c>
    </row>
    <row r="567" spans="1:20">
      <c r="A567" t="s">
        <v>25</v>
      </c>
      <c r="B567" t="s">
        <v>32</v>
      </c>
      <c r="C567" t="s">
        <v>37</v>
      </c>
      <c r="E567" s="2">
        <v>46034.16644675926</v>
      </c>
      <c r="F567" s="2">
        <v>46034.16649305556</v>
      </c>
      <c r="G567" t="s">
        <v>50</v>
      </c>
      <c r="H567" t="s">
        <v>51</v>
      </c>
      <c r="I567">
        <v>3</v>
      </c>
      <c r="J567">
        <v>3</v>
      </c>
      <c r="K567" t="s">
        <v>53</v>
      </c>
      <c r="L567" t="s">
        <v>62</v>
      </c>
      <c r="M567" t="s">
        <v>69</v>
      </c>
      <c r="N567" t="s">
        <v>74</v>
      </c>
      <c r="O567">
        <v>4</v>
      </c>
      <c r="P567" t="s">
        <v>81</v>
      </c>
      <c r="Q567" t="s">
        <v>85</v>
      </c>
      <c r="R567" t="s">
        <v>93</v>
      </c>
      <c r="S567" t="s">
        <v>107</v>
      </c>
      <c r="T567" t="s">
        <v>114</v>
      </c>
    </row>
    <row r="568" spans="1:20">
      <c r="A568" t="s">
        <v>25</v>
      </c>
      <c r="B568" t="s">
        <v>32</v>
      </c>
      <c r="C568" t="s">
        <v>37</v>
      </c>
      <c r="E568" s="2">
        <v>46034.16649305556</v>
      </c>
      <c r="F568" s="2">
        <v>46034.16666666666</v>
      </c>
      <c r="G568" t="s">
        <v>50</v>
      </c>
      <c r="H568" t="s">
        <v>51</v>
      </c>
      <c r="I568">
        <v>3</v>
      </c>
      <c r="J568">
        <v>3</v>
      </c>
      <c r="K568" t="s">
        <v>53</v>
      </c>
      <c r="L568" t="s">
        <v>62</v>
      </c>
      <c r="M568" t="s">
        <v>69</v>
      </c>
      <c r="N568" t="s">
        <v>76</v>
      </c>
      <c r="O568">
        <v>15</v>
      </c>
      <c r="P568" t="s">
        <v>81</v>
      </c>
      <c r="Q568" t="s">
        <v>85</v>
      </c>
      <c r="R568" t="s">
        <v>93</v>
      </c>
      <c r="S568" t="s">
        <v>107</v>
      </c>
      <c r="T568" t="s">
        <v>114</v>
      </c>
    </row>
    <row r="569" spans="1:20">
      <c r="A569" t="s">
        <v>25</v>
      </c>
      <c r="B569" t="s">
        <v>32</v>
      </c>
      <c r="C569" t="s">
        <v>37</v>
      </c>
      <c r="E569" s="2">
        <v>46034.16666666666</v>
      </c>
      <c r="F569" s="2">
        <v>46034.1672800926</v>
      </c>
      <c r="G569" t="s">
        <v>50</v>
      </c>
      <c r="H569" t="s">
        <v>51</v>
      </c>
      <c r="I569">
        <v>4</v>
      </c>
      <c r="J569">
        <v>4</v>
      </c>
      <c r="K569" t="s">
        <v>53</v>
      </c>
      <c r="L569" t="s">
        <v>62</v>
      </c>
      <c r="M569" t="s">
        <v>69</v>
      </c>
      <c r="N569" t="s">
        <v>76</v>
      </c>
      <c r="O569">
        <v>53</v>
      </c>
      <c r="P569" t="s">
        <v>81</v>
      </c>
      <c r="Q569" t="s">
        <v>85</v>
      </c>
      <c r="R569" t="s">
        <v>93</v>
      </c>
      <c r="S569" t="s">
        <v>107</v>
      </c>
      <c r="T569" t="s">
        <v>114</v>
      </c>
    </row>
    <row r="570" spans="1:20">
      <c r="A570" t="s">
        <v>26</v>
      </c>
      <c r="B570" t="s">
        <v>33</v>
      </c>
      <c r="C570" t="s">
        <v>35</v>
      </c>
      <c r="D570" t="s">
        <v>47</v>
      </c>
      <c r="E570" s="2">
        <v>46034.16666666666</v>
      </c>
      <c r="F570" s="2">
        <v>46034.17357638889</v>
      </c>
      <c r="G570" t="s">
        <v>50</v>
      </c>
      <c r="H570" t="s">
        <v>51</v>
      </c>
      <c r="I570">
        <v>4</v>
      </c>
      <c r="J570">
        <v>4</v>
      </c>
      <c r="L570" t="s">
        <v>68</v>
      </c>
      <c r="M570" t="s">
        <v>70</v>
      </c>
      <c r="N570" t="s">
        <v>74</v>
      </c>
      <c r="O570">
        <v>597</v>
      </c>
      <c r="P570" t="s">
        <v>47</v>
      </c>
      <c r="Q570" t="s">
        <v>84</v>
      </c>
      <c r="R570" t="s">
        <v>97</v>
      </c>
      <c r="S570" t="s">
        <v>111</v>
      </c>
      <c r="T570" t="s">
        <v>116</v>
      </c>
    </row>
    <row r="571" spans="1:20">
      <c r="A571" t="s">
        <v>24</v>
      </c>
      <c r="B571" t="s">
        <v>31</v>
      </c>
      <c r="C571" t="s">
        <v>37</v>
      </c>
      <c r="E571" s="2">
        <v>46034.16666666666</v>
      </c>
      <c r="F571" s="2">
        <v>46034.16677083333</v>
      </c>
      <c r="G571" t="s">
        <v>50</v>
      </c>
      <c r="H571" t="s">
        <v>51</v>
      </c>
      <c r="I571">
        <v>4</v>
      </c>
      <c r="J571">
        <v>4</v>
      </c>
      <c r="K571" t="s">
        <v>56</v>
      </c>
      <c r="L571" t="s">
        <v>67</v>
      </c>
      <c r="N571" t="s">
        <v>75</v>
      </c>
      <c r="O571">
        <v>9</v>
      </c>
      <c r="P571" t="s">
        <v>81</v>
      </c>
      <c r="Q571" t="s">
        <v>85</v>
      </c>
      <c r="R571" t="s">
        <v>93</v>
      </c>
      <c r="S571" t="s">
        <v>107</v>
      </c>
      <c r="T571" t="s">
        <v>114</v>
      </c>
    </row>
    <row r="572" spans="1:20">
      <c r="A572" t="s">
        <v>23</v>
      </c>
      <c r="B572" t="s">
        <v>30</v>
      </c>
      <c r="C572" t="s">
        <v>35</v>
      </c>
      <c r="D572" t="s">
        <v>46</v>
      </c>
      <c r="E572" s="2">
        <v>46034.16666666666</v>
      </c>
      <c r="F572" s="2">
        <v>46034.18907407407</v>
      </c>
      <c r="G572" t="s">
        <v>50</v>
      </c>
      <c r="H572" t="s">
        <v>51</v>
      </c>
      <c r="I572">
        <v>4</v>
      </c>
      <c r="J572">
        <v>4</v>
      </c>
      <c r="K572" t="s">
        <v>55</v>
      </c>
      <c r="L572" t="s">
        <v>65</v>
      </c>
      <c r="M572" t="s">
        <v>69</v>
      </c>
      <c r="N572" t="s">
        <v>74</v>
      </c>
      <c r="O572">
        <v>1936</v>
      </c>
      <c r="P572" t="s">
        <v>46</v>
      </c>
      <c r="Q572" t="s">
        <v>84</v>
      </c>
      <c r="R572" t="s">
        <v>96</v>
      </c>
      <c r="S572" t="s">
        <v>110</v>
      </c>
      <c r="T572" t="s">
        <v>116</v>
      </c>
    </row>
    <row r="573" spans="1:20">
      <c r="A573" t="s">
        <v>21</v>
      </c>
      <c r="B573" t="s">
        <v>28</v>
      </c>
      <c r="C573" t="s">
        <v>36</v>
      </c>
      <c r="E573" s="2">
        <v>46034.16666666666</v>
      </c>
      <c r="F573" s="2">
        <v>46034.16822916667</v>
      </c>
      <c r="G573" t="s">
        <v>50</v>
      </c>
      <c r="H573" t="s">
        <v>51</v>
      </c>
      <c r="I573">
        <v>4</v>
      </c>
      <c r="J573">
        <v>4</v>
      </c>
      <c r="K573" t="s">
        <v>54</v>
      </c>
      <c r="L573" t="s">
        <v>58</v>
      </c>
      <c r="M573" t="s">
        <v>69</v>
      </c>
      <c r="N573" t="s">
        <v>74</v>
      </c>
      <c r="O573">
        <v>135</v>
      </c>
      <c r="P573" t="s">
        <v>79</v>
      </c>
      <c r="Q573" t="s">
        <v>85</v>
      </c>
      <c r="R573" t="s">
        <v>91</v>
      </c>
      <c r="S573" t="s">
        <v>105</v>
      </c>
      <c r="T573" t="s">
        <v>114</v>
      </c>
    </row>
    <row r="574" spans="1:20">
      <c r="A574" t="s">
        <v>22</v>
      </c>
      <c r="B574" t="s">
        <v>29</v>
      </c>
      <c r="C574" t="s">
        <v>36</v>
      </c>
      <c r="E574" s="2">
        <v>46034.16666666666</v>
      </c>
      <c r="F574" s="2">
        <v>46034.16876157407</v>
      </c>
      <c r="G574" t="s">
        <v>50</v>
      </c>
      <c r="H574" t="s">
        <v>51</v>
      </c>
      <c r="I574">
        <v>4</v>
      </c>
      <c r="J574">
        <v>4</v>
      </c>
      <c r="K574" t="s">
        <v>54</v>
      </c>
      <c r="L574" t="s">
        <v>64</v>
      </c>
      <c r="M574" t="s">
        <v>69</v>
      </c>
      <c r="N574" t="s">
        <v>74</v>
      </c>
      <c r="O574">
        <v>181</v>
      </c>
      <c r="P574" t="s">
        <v>79</v>
      </c>
      <c r="Q574" t="s">
        <v>85</v>
      </c>
      <c r="R574" t="s">
        <v>91</v>
      </c>
      <c r="S574" t="s">
        <v>105</v>
      </c>
      <c r="T574" t="s">
        <v>114</v>
      </c>
    </row>
    <row r="575" spans="1:20">
      <c r="A575" t="s">
        <v>20</v>
      </c>
      <c r="B575" t="s">
        <v>27</v>
      </c>
      <c r="C575" t="s">
        <v>36</v>
      </c>
      <c r="E575" s="2">
        <v>46034.16666666666</v>
      </c>
      <c r="F575" s="2">
        <v>46034.16856481481</v>
      </c>
      <c r="G575" t="s">
        <v>50</v>
      </c>
      <c r="H575" t="s">
        <v>51</v>
      </c>
      <c r="I575">
        <v>4</v>
      </c>
      <c r="J575">
        <v>4</v>
      </c>
      <c r="K575" t="s">
        <v>52</v>
      </c>
      <c r="L575" t="s">
        <v>66</v>
      </c>
      <c r="O575">
        <v>164</v>
      </c>
      <c r="P575" t="s">
        <v>79</v>
      </c>
      <c r="Q575" t="s">
        <v>85</v>
      </c>
      <c r="R575" t="s">
        <v>91</v>
      </c>
      <c r="S575" t="s">
        <v>105</v>
      </c>
      <c r="T575" t="s">
        <v>114</v>
      </c>
    </row>
    <row r="576" spans="1:20">
      <c r="A576" t="s">
        <v>24</v>
      </c>
      <c r="B576" t="s">
        <v>31</v>
      </c>
      <c r="C576" t="s">
        <v>37</v>
      </c>
      <c r="E576" s="2">
        <v>46034.16677083333</v>
      </c>
      <c r="F576" s="2">
        <v>46034.16774305556</v>
      </c>
      <c r="G576" t="s">
        <v>50</v>
      </c>
      <c r="H576" t="s">
        <v>51</v>
      </c>
      <c r="I576">
        <v>4</v>
      </c>
      <c r="J576">
        <v>4</v>
      </c>
      <c r="K576" t="s">
        <v>56</v>
      </c>
      <c r="L576" t="s">
        <v>67</v>
      </c>
      <c r="N576" t="s">
        <v>74</v>
      </c>
      <c r="O576">
        <v>84</v>
      </c>
      <c r="P576" t="s">
        <v>81</v>
      </c>
      <c r="Q576" t="s">
        <v>85</v>
      </c>
      <c r="R576" t="s">
        <v>93</v>
      </c>
      <c r="S576" t="s">
        <v>107</v>
      </c>
      <c r="T576" t="s">
        <v>114</v>
      </c>
    </row>
    <row r="577" spans="1:20">
      <c r="A577" t="s">
        <v>25</v>
      </c>
      <c r="B577" t="s">
        <v>32</v>
      </c>
      <c r="C577" t="s">
        <v>37</v>
      </c>
      <c r="E577" s="2">
        <v>46034.1672800926</v>
      </c>
      <c r="F577" s="2">
        <v>46034.16744212963</v>
      </c>
      <c r="G577" t="s">
        <v>50</v>
      </c>
      <c r="H577" t="s">
        <v>51</v>
      </c>
      <c r="I577">
        <v>4</v>
      </c>
      <c r="J577">
        <v>4</v>
      </c>
      <c r="K577" t="s">
        <v>53</v>
      </c>
      <c r="L577" t="s">
        <v>62</v>
      </c>
      <c r="M577" t="s">
        <v>69</v>
      </c>
      <c r="N577" t="s">
        <v>74</v>
      </c>
      <c r="O577">
        <v>14</v>
      </c>
      <c r="P577" t="s">
        <v>81</v>
      </c>
      <c r="Q577" t="s">
        <v>85</v>
      </c>
      <c r="R577" t="s">
        <v>93</v>
      </c>
      <c r="S577" t="s">
        <v>107</v>
      </c>
      <c r="T577" t="s">
        <v>114</v>
      </c>
    </row>
    <row r="578" spans="1:20">
      <c r="A578" t="s">
        <v>25</v>
      </c>
      <c r="B578" t="s">
        <v>32</v>
      </c>
      <c r="C578" t="s">
        <v>38</v>
      </c>
      <c r="E578" s="2">
        <v>46034.16744212963</v>
      </c>
      <c r="F578" s="2">
        <v>46034.19736111111</v>
      </c>
      <c r="G578" t="s">
        <v>50</v>
      </c>
      <c r="H578" t="s">
        <v>51</v>
      </c>
      <c r="I578">
        <v>4</v>
      </c>
      <c r="J578">
        <v>4</v>
      </c>
      <c r="K578" t="s">
        <v>53</v>
      </c>
      <c r="L578" t="s">
        <v>62</v>
      </c>
      <c r="M578" t="s">
        <v>69</v>
      </c>
      <c r="N578" t="s">
        <v>74</v>
      </c>
      <c r="O578">
        <v>2585</v>
      </c>
      <c r="P578" t="s">
        <v>79</v>
      </c>
      <c r="Q578" t="s">
        <v>85</v>
      </c>
      <c r="R578" t="s">
        <v>91</v>
      </c>
      <c r="S578" t="s">
        <v>105</v>
      </c>
      <c r="T578" t="s">
        <v>114</v>
      </c>
    </row>
    <row r="579" spans="1:20">
      <c r="A579" t="s">
        <v>24</v>
      </c>
      <c r="B579" t="s">
        <v>31</v>
      </c>
      <c r="C579" t="s">
        <v>39</v>
      </c>
      <c r="E579" s="2">
        <v>46034.16774305556</v>
      </c>
      <c r="F579" s="2">
        <v>46034.16915509259</v>
      </c>
      <c r="G579" t="s">
        <v>50</v>
      </c>
      <c r="H579" t="s">
        <v>51</v>
      </c>
      <c r="I579">
        <v>4</v>
      </c>
      <c r="J579">
        <v>4</v>
      </c>
      <c r="K579" t="s">
        <v>56</v>
      </c>
      <c r="L579" t="s">
        <v>67</v>
      </c>
      <c r="N579" t="s">
        <v>74</v>
      </c>
      <c r="O579">
        <v>122</v>
      </c>
      <c r="P579" t="s">
        <v>81</v>
      </c>
      <c r="Q579" t="s">
        <v>85</v>
      </c>
      <c r="R579" t="s">
        <v>93</v>
      </c>
      <c r="S579" t="s">
        <v>107</v>
      </c>
      <c r="T579" t="s">
        <v>114</v>
      </c>
    </row>
    <row r="580" spans="1:20">
      <c r="A580" t="s">
        <v>21</v>
      </c>
      <c r="B580" t="s">
        <v>28</v>
      </c>
      <c r="C580" t="s">
        <v>36</v>
      </c>
      <c r="E580" s="2">
        <v>46034.16822916667</v>
      </c>
      <c r="F580" s="2">
        <v>46034.19638888889</v>
      </c>
      <c r="G580" t="s">
        <v>50</v>
      </c>
      <c r="H580" t="s">
        <v>51</v>
      </c>
      <c r="I580">
        <v>4</v>
      </c>
      <c r="J580">
        <v>4</v>
      </c>
      <c r="K580" t="s">
        <v>54</v>
      </c>
      <c r="L580" t="s">
        <v>68</v>
      </c>
      <c r="M580" t="s">
        <v>69</v>
      </c>
      <c r="N580" t="s">
        <v>74</v>
      </c>
      <c r="O580">
        <v>2433</v>
      </c>
      <c r="P580" t="s">
        <v>79</v>
      </c>
      <c r="Q580" t="s">
        <v>85</v>
      </c>
      <c r="R580" t="s">
        <v>91</v>
      </c>
      <c r="S580" t="s">
        <v>105</v>
      </c>
      <c r="T580" t="s">
        <v>114</v>
      </c>
    </row>
    <row r="581" spans="1:20">
      <c r="A581" t="s">
        <v>20</v>
      </c>
      <c r="B581" t="s">
        <v>27</v>
      </c>
      <c r="C581" t="s">
        <v>38</v>
      </c>
      <c r="E581" s="2">
        <v>46034.16856481481</v>
      </c>
      <c r="F581" s="2">
        <v>46034.169375</v>
      </c>
      <c r="G581" t="s">
        <v>50</v>
      </c>
      <c r="H581" t="s">
        <v>51</v>
      </c>
      <c r="I581">
        <v>4</v>
      </c>
      <c r="J581">
        <v>4</v>
      </c>
      <c r="K581" t="s">
        <v>52</v>
      </c>
      <c r="L581" t="s">
        <v>66</v>
      </c>
      <c r="O581">
        <v>70</v>
      </c>
      <c r="P581" t="s">
        <v>79</v>
      </c>
      <c r="Q581" t="s">
        <v>85</v>
      </c>
      <c r="R581" t="s">
        <v>91</v>
      </c>
      <c r="S581" t="s">
        <v>105</v>
      </c>
      <c r="T581" t="s">
        <v>114</v>
      </c>
    </row>
    <row r="582" spans="1:20">
      <c r="A582" t="s">
        <v>22</v>
      </c>
      <c r="B582" t="s">
        <v>29</v>
      </c>
      <c r="C582" t="s">
        <v>38</v>
      </c>
      <c r="E582" s="2">
        <v>46034.16876157407</v>
      </c>
      <c r="F582" s="2">
        <v>46034.16924768518</v>
      </c>
      <c r="G582" t="s">
        <v>50</v>
      </c>
      <c r="H582" t="s">
        <v>51</v>
      </c>
      <c r="I582">
        <v>4</v>
      </c>
      <c r="J582">
        <v>4</v>
      </c>
      <c r="K582" t="s">
        <v>54</v>
      </c>
      <c r="L582" t="s">
        <v>64</v>
      </c>
      <c r="M582" t="s">
        <v>69</v>
      </c>
      <c r="N582" t="s">
        <v>74</v>
      </c>
      <c r="O582">
        <v>42</v>
      </c>
      <c r="P582" t="s">
        <v>79</v>
      </c>
      <c r="Q582" t="s">
        <v>85</v>
      </c>
      <c r="R582" t="s">
        <v>91</v>
      </c>
      <c r="S582" t="s">
        <v>105</v>
      </c>
      <c r="T582" t="s">
        <v>114</v>
      </c>
    </row>
    <row r="583" spans="1:20">
      <c r="A583" t="s">
        <v>24</v>
      </c>
      <c r="B583" t="s">
        <v>31</v>
      </c>
      <c r="C583" t="s">
        <v>37</v>
      </c>
      <c r="E583" s="2">
        <v>46034.16915509259</v>
      </c>
      <c r="F583" s="2">
        <v>46034.16931712963</v>
      </c>
      <c r="G583" t="s">
        <v>50</v>
      </c>
      <c r="H583" t="s">
        <v>51</v>
      </c>
      <c r="I583">
        <v>4</v>
      </c>
      <c r="J583">
        <v>4</v>
      </c>
      <c r="K583" t="s">
        <v>56</v>
      </c>
      <c r="L583" t="s">
        <v>67</v>
      </c>
      <c r="N583" t="s">
        <v>74</v>
      </c>
      <c r="O583">
        <v>14</v>
      </c>
      <c r="P583" t="s">
        <v>80</v>
      </c>
      <c r="Q583" t="s">
        <v>84</v>
      </c>
      <c r="R583" t="s">
        <v>92</v>
      </c>
      <c r="S583" t="s">
        <v>106</v>
      </c>
      <c r="T583" t="s">
        <v>115</v>
      </c>
    </row>
    <row r="584" spans="1:20">
      <c r="A584" t="s">
        <v>22</v>
      </c>
      <c r="B584" t="s">
        <v>29</v>
      </c>
      <c r="C584" t="s">
        <v>37</v>
      </c>
      <c r="E584" s="2">
        <v>46034.16924768518</v>
      </c>
      <c r="F584" s="2">
        <v>46034.16962962963</v>
      </c>
      <c r="G584" t="s">
        <v>50</v>
      </c>
      <c r="H584" t="s">
        <v>51</v>
      </c>
      <c r="I584">
        <v>4</v>
      </c>
      <c r="J584">
        <v>4</v>
      </c>
      <c r="K584" t="s">
        <v>54</v>
      </c>
      <c r="L584" t="s">
        <v>64</v>
      </c>
      <c r="M584" t="s">
        <v>69</v>
      </c>
      <c r="N584" t="s">
        <v>74</v>
      </c>
      <c r="O584">
        <v>33</v>
      </c>
      <c r="P584" t="s">
        <v>81</v>
      </c>
      <c r="Q584" t="s">
        <v>85</v>
      </c>
      <c r="R584" t="s">
        <v>93</v>
      </c>
      <c r="S584" t="s">
        <v>107</v>
      </c>
      <c r="T584" t="s">
        <v>114</v>
      </c>
    </row>
    <row r="585" spans="1:20">
      <c r="A585" t="s">
        <v>24</v>
      </c>
      <c r="B585" t="s">
        <v>31</v>
      </c>
      <c r="C585" t="s">
        <v>37</v>
      </c>
      <c r="E585" s="2">
        <v>46034.16931712963</v>
      </c>
      <c r="F585" s="2">
        <v>46034.16962962963</v>
      </c>
      <c r="G585" t="s">
        <v>50</v>
      </c>
      <c r="H585" t="s">
        <v>51</v>
      </c>
      <c r="I585">
        <v>4</v>
      </c>
      <c r="J585">
        <v>4</v>
      </c>
      <c r="K585" t="s">
        <v>56</v>
      </c>
      <c r="L585" t="s">
        <v>67</v>
      </c>
      <c r="N585" t="s">
        <v>76</v>
      </c>
      <c r="O585">
        <v>27</v>
      </c>
      <c r="P585" t="s">
        <v>80</v>
      </c>
      <c r="Q585" t="s">
        <v>84</v>
      </c>
      <c r="R585" t="s">
        <v>92</v>
      </c>
      <c r="S585" t="s">
        <v>106</v>
      </c>
      <c r="T585" t="s">
        <v>115</v>
      </c>
    </row>
    <row r="586" spans="1:20">
      <c r="A586" t="s">
        <v>20</v>
      </c>
      <c r="B586" t="s">
        <v>27</v>
      </c>
      <c r="C586" t="s">
        <v>39</v>
      </c>
      <c r="E586" s="2">
        <v>46034.169375</v>
      </c>
      <c r="F586" s="2">
        <v>46034.17075231481</v>
      </c>
      <c r="G586" t="s">
        <v>50</v>
      </c>
      <c r="H586" t="s">
        <v>51</v>
      </c>
      <c r="I586">
        <v>4</v>
      </c>
      <c r="J586">
        <v>4</v>
      </c>
      <c r="K586" t="s">
        <v>52</v>
      </c>
      <c r="L586" t="s">
        <v>66</v>
      </c>
      <c r="O586">
        <v>119</v>
      </c>
      <c r="P586" t="s">
        <v>81</v>
      </c>
      <c r="Q586" t="s">
        <v>85</v>
      </c>
      <c r="R586" t="s">
        <v>93</v>
      </c>
      <c r="S586" t="s">
        <v>107</v>
      </c>
      <c r="T586" t="s">
        <v>114</v>
      </c>
    </row>
    <row r="587" spans="1:20">
      <c r="A587" t="s">
        <v>22</v>
      </c>
      <c r="B587" t="s">
        <v>29</v>
      </c>
      <c r="C587" t="s">
        <v>39</v>
      </c>
      <c r="E587" s="2">
        <v>46034.16962962963</v>
      </c>
      <c r="F587" s="2">
        <v>46034.17225694445</v>
      </c>
      <c r="G587" t="s">
        <v>50</v>
      </c>
      <c r="H587" t="s">
        <v>51</v>
      </c>
      <c r="I587">
        <v>4</v>
      </c>
      <c r="J587">
        <v>4</v>
      </c>
      <c r="K587" t="s">
        <v>54</v>
      </c>
      <c r="L587" t="s">
        <v>64</v>
      </c>
      <c r="M587" t="s">
        <v>69</v>
      </c>
      <c r="N587" t="s">
        <v>74</v>
      </c>
      <c r="O587">
        <v>227</v>
      </c>
      <c r="P587" t="s">
        <v>81</v>
      </c>
      <c r="Q587" t="s">
        <v>85</v>
      </c>
      <c r="R587" t="s">
        <v>93</v>
      </c>
      <c r="S587" t="s">
        <v>107</v>
      </c>
      <c r="T587" t="s">
        <v>114</v>
      </c>
    </row>
    <row r="588" spans="1:20">
      <c r="A588" t="s">
        <v>24</v>
      </c>
      <c r="B588" t="s">
        <v>31</v>
      </c>
      <c r="C588" t="s">
        <v>37</v>
      </c>
      <c r="E588" s="2">
        <v>46034.16962962963</v>
      </c>
      <c r="F588" s="2">
        <v>46034.17244212963</v>
      </c>
      <c r="G588" t="s">
        <v>50</v>
      </c>
      <c r="H588" t="s">
        <v>51</v>
      </c>
      <c r="I588">
        <v>4</v>
      </c>
      <c r="J588">
        <v>4</v>
      </c>
      <c r="K588" t="s">
        <v>56</v>
      </c>
      <c r="L588" t="s">
        <v>67</v>
      </c>
      <c r="N588" t="s">
        <v>74</v>
      </c>
      <c r="O588">
        <v>243</v>
      </c>
      <c r="P588" t="s">
        <v>80</v>
      </c>
      <c r="Q588" t="s">
        <v>84</v>
      </c>
      <c r="R588" t="s">
        <v>92</v>
      </c>
      <c r="S588" t="s">
        <v>106</v>
      </c>
      <c r="T588" t="s">
        <v>115</v>
      </c>
    </row>
    <row r="589" spans="1:20">
      <c r="A589" t="s">
        <v>20</v>
      </c>
      <c r="B589" t="s">
        <v>27</v>
      </c>
      <c r="C589" t="s">
        <v>38</v>
      </c>
      <c r="E589" s="2">
        <v>46034.17075231481</v>
      </c>
      <c r="F589" s="2">
        <v>46034.17158564815</v>
      </c>
      <c r="G589" t="s">
        <v>50</v>
      </c>
      <c r="H589" t="s">
        <v>51</v>
      </c>
      <c r="I589">
        <v>4</v>
      </c>
      <c r="J589">
        <v>4</v>
      </c>
      <c r="K589" t="s">
        <v>52</v>
      </c>
      <c r="L589" t="s">
        <v>66</v>
      </c>
      <c r="O589">
        <v>72</v>
      </c>
      <c r="P589" t="s">
        <v>79</v>
      </c>
      <c r="Q589" t="s">
        <v>85</v>
      </c>
      <c r="R589" t="s">
        <v>91</v>
      </c>
      <c r="S589" t="s">
        <v>105</v>
      </c>
      <c r="T589" t="s">
        <v>114</v>
      </c>
    </row>
    <row r="590" spans="1:20">
      <c r="A590" t="s">
        <v>20</v>
      </c>
      <c r="B590" t="s">
        <v>27</v>
      </c>
      <c r="C590" t="s">
        <v>36</v>
      </c>
      <c r="E590" s="2">
        <v>46034.17158564815</v>
      </c>
      <c r="F590" s="2">
        <v>46034.17414351852</v>
      </c>
      <c r="G590" t="s">
        <v>50</v>
      </c>
      <c r="H590" t="s">
        <v>51</v>
      </c>
      <c r="I590">
        <v>4</v>
      </c>
      <c r="J590">
        <v>4</v>
      </c>
      <c r="K590" t="s">
        <v>52</v>
      </c>
      <c r="L590" t="s">
        <v>66</v>
      </c>
      <c r="O590">
        <v>221</v>
      </c>
      <c r="P590" t="s">
        <v>79</v>
      </c>
      <c r="Q590" t="s">
        <v>85</v>
      </c>
      <c r="R590" t="s">
        <v>91</v>
      </c>
      <c r="S590" t="s">
        <v>105</v>
      </c>
      <c r="T590" t="s">
        <v>114</v>
      </c>
    </row>
    <row r="591" spans="1:20">
      <c r="A591" t="s">
        <v>22</v>
      </c>
      <c r="B591" t="s">
        <v>29</v>
      </c>
      <c r="C591" t="s">
        <v>37</v>
      </c>
      <c r="E591" s="2">
        <v>46034.17225694445</v>
      </c>
      <c r="F591" s="2">
        <v>46034.17353009259</v>
      </c>
      <c r="G591" t="s">
        <v>50</v>
      </c>
      <c r="H591" t="s">
        <v>51</v>
      </c>
      <c r="I591">
        <v>4</v>
      </c>
      <c r="J591">
        <v>4</v>
      </c>
      <c r="K591" t="s">
        <v>54</v>
      </c>
      <c r="L591" t="s">
        <v>64</v>
      </c>
      <c r="M591" t="s">
        <v>69</v>
      </c>
      <c r="N591" t="s">
        <v>74</v>
      </c>
      <c r="O591">
        <v>110</v>
      </c>
      <c r="P591" t="s">
        <v>81</v>
      </c>
      <c r="Q591" t="s">
        <v>85</v>
      </c>
      <c r="R591" t="s">
        <v>93</v>
      </c>
      <c r="S591" t="s">
        <v>107</v>
      </c>
      <c r="T591" t="s">
        <v>114</v>
      </c>
    </row>
    <row r="592" spans="1:20">
      <c r="A592" t="s">
        <v>24</v>
      </c>
      <c r="B592" t="s">
        <v>31</v>
      </c>
      <c r="C592" t="s">
        <v>38</v>
      </c>
      <c r="E592" s="2">
        <v>46034.17244212963</v>
      </c>
      <c r="F592" s="2">
        <v>46034.17269675926</v>
      </c>
      <c r="G592" t="s">
        <v>50</v>
      </c>
      <c r="H592" t="s">
        <v>51</v>
      </c>
      <c r="I592">
        <v>4</v>
      </c>
      <c r="J592">
        <v>4</v>
      </c>
      <c r="K592" t="s">
        <v>56</v>
      </c>
      <c r="L592" t="s">
        <v>67</v>
      </c>
      <c r="N592" t="s">
        <v>74</v>
      </c>
      <c r="O592">
        <v>22</v>
      </c>
      <c r="P592" t="s">
        <v>79</v>
      </c>
      <c r="Q592" t="s">
        <v>85</v>
      </c>
      <c r="R592" t="s">
        <v>91</v>
      </c>
      <c r="S592" t="s">
        <v>105</v>
      </c>
      <c r="T592" t="s">
        <v>114</v>
      </c>
    </row>
    <row r="593" spans="1:20">
      <c r="A593" t="s">
        <v>24</v>
      </c>
      <c r="B593" t="s">
        <v>31</v>
      </c>
      <c r="C593" t="s">
        <v>36</v>
      </c>
      <c r="E593" s="2">
        <v>46034.17269675926</v>
      </c>
      <c r="F593" s="2">
        <v>46034.20153935185</v>
      </c>
      <c r="G593" t="s">
        <v>50</v>
      </c>
      <c r="H593" t="s">
        <v>51</v>
      </c>
      <c r="I593">
        <v>4</v>
      </c>
      <c r="J593">
        <v>4</v>
      </c>
      <c r="K593" t="s">
        <v>56</v>
      </c>
      <c r="L593" t="s">
        <v>67</v>
      </c>
      <c r="N593" t="s">
        <v>74</v>
      </c>
      <c r="O593">
        <v>2492</v>
      </c>
      <c r="P593" t="s">
        <v>79</v>
      </c>
      <c r="Q593" t="s">
        <v>85</v>
      </c>
      <c r="R593" t="s">
        <v>91</v>
      </c>
      <c r="S593" t="s">
        <v>105</v>
      </c>
      <c r="T593" t="s">
        <v>114</v>
      </c>
    </row>
    <row r="594" spans="1:20">
      <c r="A594" t="s">
        <v>22</v>
      </c>
      <c r="B594" t="s">
        <v>29</v>
      </c>
      <c r="C594" t="s">
        <v>38</v>
      </c>
      <c r="E594" s="2">
        <v>46034.17353009259</v>
      </c>
      <c r="F594" s="2">
        <v>46034.17364583333</v>
      </c>
      <c r="G594" t="s">
        <v>50</v>
      </c>
      <c r="H594" t="s">
        <v>51</v>
      </c>
      <c r="I594">
        <v>4</v>
      </c>
      <c r="J594">
        <v>4</v>
      </c>
      <c r="K594" t="s">
        <v>54</v>
      </c>
      <c r="L594" t="s">
        <v>64</v>
      </c>
      <c r="M594" t="s">
        <v>69</v>
      </c>
      <c r="N594" t="s">
        <v>74</v>
      </c>
      <c r="O594">
        <v>10</v>
      </c>
      <c r="P594" t="s">
        <v>79</v>
      </c>
      <c r="Q594" t="s">
        <v>85</v>
      </c>
      <c r="R594" t="s">
        <v>91</v>
      </c>
      <c r="S594" t="s">
        <v>105</v>
      </c>
      <c r="T594" t="s">
        <v>114</v>
      </c>
    </row>
    <row r="595" spans="1:20">
      <c r="A595" t="s">
        <v>26</v>
      </c>
      <c r="B595" t="s">
        <v>33</v>
      </c>
      <c r="C595" t="s">
        <v>35</v>
      </c>
      <c r="D595" t="s">
        <v>47</v>
      </c>
      <c r="E595" s="2">
        <v>46034.17357638889</v>
      </c>
      <c r="F595" s="2">
        <v>46034.20151620371</v>
      </c>
      <c r="G595" t="s">
        <v>50</v>
      </c>
      <c r="H595" t="s">
        <v>51</v>
      </c>
      <c r="I595">
        <v>4</v>
      </c>
      <c r="J595">
        <v>4</v>
      </c>
      <c r="L595" t="s">
        <v>68</v>
      </c>
      <c r="M595" t="s">
        <v>72</v>
      </c>
      <c r="N595" t="s">
        <v>74</v>
      </c>
      <c r="O595">
        <v>2414</v>
      </c>
      <c r="P595" t="s">
        <v>47</v>
      </c>
      <c r="Q595" t="s">
        <v>84</v>
      </c>
      <c r="R595" t="s">
        <v>97</v>
      </c>
      <c r="S595" t="s">
        <v>111</v>
      </c>
      <c r="T595" t="s">
        <v>116</v>
      </c>
    </row>
    <row r="596" spans="1:20">
      <c r="A596" t="s">
        <v>22</v>
      </c>
      <c r="B596" t="s">
        <v>29</v>
      </c>
      <c r="C596" t="s">
        <v>36</v>
      </c>
      <c r="E596" s="2">
        <v>46034.17364583333</v>
      </c>
      <c r="F596" s="2">
        <v>46034.19979166667</v>
      </c>
      <c r="G596" t="s">
        <v>50</v>
      </c>
      <c r="H596" t="s">
        <v>51</v>
      </c>
      <c r="I596">
        <v>4</v>
      </c>
      <c r="J596">
        <v>4</v>
      </c>
      <c r="K596" t="s">
        <v>54</v>
      </c>
      <c r="L596" t="s">
        <v>64</v>
      </c>
      <c r="M596" t="s">
        <v>69</v>
      </c>
      <c r="N596" t="s">
        <v>74</v>
      </c>
      <c r="O596">
        <v>2259</v>
      </c>
      <c r="P596" t="s">
        <v>79</v>
      </c>
      <c r="Q596" t="s">
        <v>85</v>
      </c>
      <c r="R596" t="s">
        <v>91</v>
      </c>
      <c r="S596" t="s">
        <v>105</v>
      </c>
      <c r="T596" t="s">
        <v>114</v>
      </c>
    </row>
    <row r="597" spans="1:20">
      <c r="A597" t="s">
        <v>20</v>
      </c>
      <c r="B597" t="s">
        <v>27</v>
      </c>
      <c r="C597" t="s">
        <v>35</v>
      </c>
      <c r="D597" t="s">
        <v>46</v>
      </c>
      <c r="E597" s="2">
        <v>46034.17414351852</v>
      </c>
      <c r="F597" s="2">
        <v>46034.20833333334</v>
      </c>
      <c r="G597" t="s">
        <v>50</v>
      </c>
      <c r="H597" t="s">
        <v>51</v>
      </c>
      <c r="I597">
        <v>4</v>
      </c>
      <c r="J597">
        <v>4</v>
      </c>
      <c r="K597" t="s">
        <v>52</v>
      </c>
      <c r="L597" t="s">
        <v>66</v>
      </c>
      <c r="O597">
        <v>2954</v>
      </c>
      <c r="P597" t="s">
        <v>46</v>
      </c>
      <c r="Q597" t="s">
        <v>84</v>
      </c>
      <c r="R597" t="s">
        <v>96</v>
      </c>
      <c r="S597" t="s">
        <v>110</v>
      </c>
      <c r="T597" t="s">
        <v>116</v>
      </c>
    </row>
    <row r="598" spans="1:20">
      <c r="A598" t="s">
        <v>23</v>
      </c>
      <c r="B598" t="s">
        <v>30</v>
      </c>
      <c r="C598" t="s">
        <v>36</v>
      </c>
      <c r="E598" s="2">
        <v>46034.18907407407</v>
      </c>
      <c r="F598" s="2">
        <v>46034.18912037037</v>
      </c>
      <c r="G598" t="s">
        <v>50</v>
      </c>
      <c r="H598" t="s">
        <v>51</v>
      </c>
      <c r="I598">
        <v>4</v>
      </c>
      <c r="J598">
        <v>4</v>
      </c>
      <c r="K598" t="s">
        <v>55</v>
      </c>
      <c r="L598" t="s">
        <v>65</v>
      </c>
      <c r="M598" t="s">
        <v>69</v>
      </c>
      <c r="N598" t="s">
        <v>74</v>
      </c>
      <c r="O598">
        <v>4</v>
      </c>
      <c r="P598" t="s">
        <v>79</v>
      </c>
      <c r="Q598" t="s">
        <v>85</v>
      </c>
      <c r="R598" t="s">
        <v>91</v>
      </c>
      <c r="S598" t="s">
        <v>105</v>
      </c>
      <c r="T598" t="s">
        <v>114</v>
      </c>
    </row>
    <row r="599" spans="1:20">
      <c r="A599" t="s">
        <v>23</v>
      </c>
      <c r="B599" t="s">
        <v>30</v>
      </c>
      <c r="C599" t="s">
        <v>36</v>
      </c>
      <c r="E599" s="2">
        <v>46034.18912037037</v>
      </c>
      <c r="F599" s="2">
        <v>46034.18913194445</v>
      </c>
      <c r="G599" t="s">
        <v>50</v>
      </c>
      <c r="H599" t="s">
        <v>51</v>
      </c>
      <c r="I599">
        <v>4</v>
      </c>
      <c r="J599">
        <v>4</v>
      </c>
      <c r="K599" t="s">
        <v>55</v>
      </c>
      <c r="L599" t="s">
        <v>65</v>
      </c>
      <c r="M599" t="s">
        <v>69</v>
      </c>
      <c r="N599" t="s">
        <v>74</v>
      </c>
      <c r="O599">
        <v>1</v>
      </c>
      <c r="P599" t="s">
        <v>79</v>
      </c>
      <c r="Q599" t="s">
        <v>85</v>
      </c>
      <c r="R599" t="s">
        <v>91</v>
      </c>
      <c r="S599" t="s">
        <v>105</v>
      </c>
      <c r="T599" t="s">
        <v>114</v>
      </c>
    </row>
    <row r="600" spans="1:20">
      <c r="A600" t="s">
        <v>23</v>
      </c>
      <c r="B600" t="s">
        <v>30</v>
      </c>
      <c r="C600" t="s">
        <v>36</v>
      </c>
      <c r="E600" s="2">
        <v>46034.18913194445</v>
      </c>
      <c r="F600" s="2">
        <v>46034.20833333334</v>
      </c>
      <c r="G600" t="s">
        <v>50</v>
      </c>
      <c r="H600" t="s">
        <v>51</v>
      </c>
      <c r="I600">
        <v>4</v>
      </c>
      <c r="J600">
        <v>4</v>
      </c>
      <c r="K600" t="s">
        <v>55</v>
      </c>
      <c r="L600" t="s">
        <v>65</v>
      </c>
      <c r="M600" t="s">
        <v>69</v>
      </c>
      <c r="N600" t="s">
        <v>74</v>
      </c>
      <c r="O600">
        <v>1659</v>
      </c>
      <c r="P600" t="s">
        <v>79</v>
      </c>
      <c r="Q600" t="s">
        <v>85</v>
      </c>
      <c r="R600" t="s">
        <v>91</v>
      </c>
      <c r="S600" t="s">
        <v>105</v>
      </c>
      <c r="T600" t="s">
        <v>114</v>
      </c>
    </row>
    <row r="601" spans="1:20">
      <c r="A601" t="s">
        <v>21</v>
      </c>
      <c r="B601" t="s">
        <v>28</v>
      </c>
      <c r="C601" t="s">
        <v>38</v>
      </c>
      <c r="E601" s="2">
        <v>46034.19638888889</v>
      </c>
      <c r="F601" s="2">
        <v>46034.2003125</v>
      </c>
      <c r="G601" t="s">
        <v>50</v>
      </c>
      <c r="H601" t="s">
        <v>51</v>
      </c>
      <c r="I601">
        <v>4</v>
      </c>
      <c r="J601">
        <v>4</v>
      </c>
      <c r="K601" t="s">
        <v>54</v>
      </c>
      <c r="L601" t="s">
        <v>68</v>
      </c>
      <c r="M601" t="s">
        <v>69</v>
      </c>
      <c r="N601" t="s">
        <v>74</v>
      </c>
      <c r="O601">
        <v>339</v>
      </c>
      <c r="P601" t="s">
        <v>79</v>
      </c>
      <c r="Q601" t="s">
        <v>85</v>
      </c>
      <c r="R601" t="s">
        <v>91</v>
      </c>
      <c r="S601" t="s">
        <v>105</v>
      </c>
      <c r="T601" t="s">
        <v>114</v>
      </c>
    </row>
    <row r="602" spans="1:20">
      <c r="A602" t="s">
        <v>25</v>
      </c>
      <c r="B602" t="s">
        <v>32</v>
      </c>
      <c r="C602" t="s">
        <v>37</v>
      </c>
      <c r="E602" s="2">
        <v>46034.19736111111</v>
      </c>
      <c r="F602" s="2">
        <v>46034.19743055556</v>
      </c>
      <c r="G602" t="s">
        <v>50</v>
      </c>
      <c r="H602" t="s">
        <v>51</v>
      </c>
      <c r="I602">
        <v>4</v>
      </c>
      <c r="J602">
        <v>4</v>
      </c>
      <c r="K602" t="s">
        <v>53</v>
      </c>
      <c r="L602" t="s">
        <v>62</v>
      </c>
      <c r="M602" t="s">
        <v>69</v>
      </c>
      <c r="N602" t="s">
        <v>74</v>
      </c>
      <c r="O602">
        <v>6</v>
      </c>
      <c r="P602" t="s">
        <v>81</v>
      </c>
      <c r="Q602" t="s">
        <v>85</v>
      </c>
      <c r="R602" t="s">
        <v>93</v>
      </c>
      <c r="S602" t="s">
        <v>107</v>
      </c>
      <c r="T602" t="s">
        <v>114</v>
      </c>
    </row>
    <row r="603" spans="1:20">
      <c r="A603" t="s">
        <v>25</v>
      </c>
      <c r="B603" t="s">
        <v>32</v>
      </c>
      <c r="C603" t="s">
        <v>37</v>
      </c>
      <c r="E603" s="2">
        <v>46034.19743055556</v>
      </c>
      <c r="F603" s="2">
        <v>46034.19783564815</v>
      </c>
      <c r="G603" t="s">
        <v>50</v>
      </c>
      <c r="H603" t="s">
        <v>51</v>
      </c>
      <c r="I603">
        <v>4</v>
      </c>
      <c r="J603">
        <v>4</v>
      </c>
      <c r="K603" t="s">
        <v>53</v>
      </c>
      <c r="L603" t="s">
        <v>62</v>
      </c>
      <c r="M603" t="s">
        <v>69</v>
      </c>
      <c r="N603" t="s">
        <v>75</v>
      </c>
      <c r="O603">
        <v>35</v>
      </c>
      <c r="P603" t="s">
        <v>81</v>
      </c>
      <c r="Q603" t="s">
        <v>85</v>
      </c>
      <c r="R603" t="s">
        <v>93</v>
      </c>
      <c r="S603" t="s">
        <v>107</v>
      </c>
      <c r="T603" t="s">
        <v>114</v>
      </c>
    </row>
    <row r="604" spans="1:20">
      <c r="A604" t="s">
        <v>25</v>
      </c>
      <c r="B604" t="s">
        <v>32</v>
      </c>
      <c r="C604" t="s">
        <v>37</v>
      </c>
      <c r="E604" s="2">
        <v>46034.19783564815</v>
      </c>
      <c r="F604" s="2">
        <v>46034.19800925926</v>
      </c>
      <c r="G604" t="s">
        <v>50</v>
      </c>
      <c r="H604" t="s">
        <v>51</v>
      </c>
      <c r="I604">
        <v>4</v>
      </c>
      <c r="J604">
        <v>4</v>
      </c>
      <c r="K604" t="s">
        <v>53</v>
      </c>
      <c r="L604" t="s">
        <v>62</v>
      </c>
      <c r="M604" t="s">
        <v>69</v>
      </c>
      <c r="N604" t="s">
        <v>74</v>
      </c>
      <c r="O604">
        <v>15</v>
      </c>
      <c r="P604" t="s">
        <v>81</v>
      </c>
      <c r="Q604" t="s">
        <v>85</v>
      </c>
      <c r="R604" t="s">
        <v>93</v>
      </c>
      <c r="S604" t="s">
        <v>107</v>
      </c>
      <c r="T604" t="s">
        <v>114</v>
      </c>
    </row>
    <row r="605" spans="1:20">
      <c r="A605" t="s">
        <v>25</v>
      </c>
      <c r="B605" t="s">
        <v>32</v>
      </c>
      <c r="C605" t="s">
        <v>39</v>
      </c>
      <c r="E605" s="2">
        <v>46034.19800925926</v>
      </c>
      <c r="F605" s="2">
        <v>46034.19920138889</v>
      </c>
      <c r="G605" t="s">
        <v>50</v>
      </c>
      <c r="H605" t="s">
        <v>51</v>
      </c>
      <c r="I605">
        <v>4</v>
      </c>
      <c r="J605">
        <v>4</v>
      </c>
      <c r="K605" t="s">
        <v>53</v>
      </c>
      <c r="L605" t="s">
        <v>62</v>
      </c>
      <c r="M605" t="s">
        <v>69</v>
      </c>
      <c r="N605" t="s">
        <v>74</v>
      </c>
      <c r="O605">
        <v>103</v>
      </c>
      <c r="P605" t="s">
        <v>81</v>
      </c>
      <c r="Q605" t="s">
        <v>85</v>
      </c>
      <c r="R605" t="s">
        <v>93</v>
      </c>
      <c r="S605" t="s">
        <v>107</v>
      </c>
      <c r="T605" t="s">
        <v>114</v>
      </c>
    </row>
    <row r="606" spans="1:20">
      <c r="A606" t="s">
        <v>25</v>
      </c>
      <c r="B606" t="s">
        <v>32</v>
      </c>
      <c r="C606" t="s">
        <v>37</v>
      </c>
      <c r="E606" s="2">
        <v>46034.19920138889</v>
      </c>
      <c r="F606" s="2">
        <v>46034.19923611111</v>
      </c>
      <c r="G606" t="s">
        <v>50</v>
      </c>
      <c r="H606" t="s">
        <v>51</v>
      </c>
      <c r="I606">
        <v>4</v>
      </c>
      <c r="J606">
        <v>4</v>
      </c>
      <c r="K606" t="s">
        <v>53</v>
      </c>
      <c r="L606" t="s">
        <v>62</v>
      </c>
      <c r="M606" t="s">
        <v>69</v>
      </c>
      <c r="N606" t="s">
        <v>74</v>
      </c>
      <c r="O606">
        <v>3</v>
      </c>
      <c r="P606" t="s">
        <v>81</v>
      </c>
      <c r="Q606" t="s">
        <v>85</v>
      </c>
      <c r="R606" t="s">
        <v>93</v>
      </c>
      <c r="S606" t="s">
        <v>107</v>
      </c>
      <c r="T606" t="s">
        <v>114</v>
      </c>
    </row>
    <row r="607" spans="1:20">
      <c r="A607" t="s">
        <v>25</v>
      </c>
      <c r="B607" t="s">
        <v>32</v>
      </c>
      <c r="C607" t="s">
        <v>37</v>
      </c>
      <c r="E607" s="2">
        <v>46034.19923611111</v>
      </c>
      <c r="F607" s="2">
        <v>46034.19989583334</v>
      </c>
      <c r="G607" t="s">
        <v>50</v>
      </c>
      <c r="H607" t="s">
        <v>51</v>
      </c>
      <c r="I607">
        <v>4</v>
      </c>
      <c r="J607">
        <v>4</v>
      </c>
      <c r="K607" t="s">
        <v>53</v>
      </c>
      <c r="L607" t="s">
        <v>62</v>
      </c>
      <c r="M607" t="s">
        <v>69</v>
      </c>
      <c r="N607" t="s">
        <v>76</v>
      </c>
      <c r="O607">
        <v>57</v>
      </c>
      <c r="P607" t="s">
        <v>81</v>
      </c>
      <c r="Q607" t="s">
        <v>85</v>
      </c>
      <c r="R607" t="s">
        <v>93</v>
      </c>
      <c r="S607" t="s">
        <v>107</v>
      </c>
      <c r="T607" t="s">
        <v>114</v>
      </c>
    </row>
    <row r="608" spans="1:20">
      <c r="A608" t="s">
        <v>22</v>
      </c>
      <c r="B608" t="s">
        <v>29</v>
      </c>
      <c r="C608" t="s">
        <v>38</v>
      </c>
      <c r="E608" s="2">
        <v>46034.19979166667</v>
      </c>
      <c r="F608" s="2">
        <v>46034.20237268518</v>
      </c>
      <c r="G608" t="s">
        <v>50</v>
      </c>
      <c r="H608" t="s">
        <v>51</v>
      </c>
      <c r="I608">
        <v>4</v>
      </c>
      <c r="J608">
        <v>4</v>
      </c>
      <c r="K608" t="s">
        <v>54</v>
      </c>
      <c r="L608" t="s">
        <v>64</v>
      </c>
      <c r="M608" t="s">
        <v>69</v>
      </c>
      <c r="N608" t="s">
        <v>74</v>
      </c>
      <c r="O608">
        <v>223</v>
      </c>
      <c r="P608" t="s">
        <v>79</v>
      </c>
      <c r="Q608" t="s">
        <v>85</v>
      </c>
      <c r="R608" t="s">
        <v>91</v>
      </c>
      <c r="S608" t="s">
        <v>105</v>
      </c>
      <c r="T608" t="s">
        <v>114</v>
      </c>
    </row>
    <row r="609" spans="1:20">
      <c r="A609" t="s">
        <v>25</v>
      </c>
      <c r="B609" t="s">
        <v>32</v>
      </c>
      <c r="C609" t="s">
        <v>37</v>
      </c>
      <c r="E609" s="2">
        <v>46034.19989583334</v>
      </c>
      <c r="F609" s="2">
        <v>46034.2000462963</v>
      </c>
      <c r="G609" t="s">
        <v>50</v>
      </c>
      <c r="H609" t="s">
        <v>51</v>
      </c>
      <c r="I609">
        <v>4</v>
      </c>
      <c r="J609">
        <v>4</v>
      </c>
      <c r="K609" t="s">
        <v>53</v>
      </c>
      <c r="L609" t="s">
        <v>62</v>
      </c>
      <c r="M609" t="s">
        <v>69</v>
      </c>
      <c r="N609" t="s">
        <v>74</v>
      </c>
      <c r="O609">
        <v>13</v>
      </c>
      <c r="P609" t="s">
        <v>81</v>
      </c>
      <c r="Q609" t="s">
        <v>85</v>
      </c>
      <c r="R609" t="s">
        <v>93</v>
      </c>
      <c r="S609" t="s">
        <v>107</v>
      </c>
      <c r="T609" t="s">
        <v>114</v>
      </c>
    </row>
    <row r="610" spans="1:20">
      <c r="A610" t="s">
        <v>25</v>
      </c>
      <c r="B610" t="s">
        <v>32</v>
      </c>
      <c r="C610" t="s">
        <v>38</v>
      </c>
      <c r="E610" s="2">
        <v>46034.2000462963</v>
      </c>
      <c r="F610" s="2">
        <v>46034.20833333334</v>
      </c>
      <c r="G610" t="s">
        <v>50</v>
      </c>
      <c r="H610" t="s">
        <v>51</v>
      </c>
      <c r="I610">
        <v>4</v>
      </c>
      <c r="J610">
        <v>4</v>
      </c>
      <c r="K610" t="s">
        <v>53</v>
      </c>
      <c r="L610" t="s">
        <v>62</v>
      </c>
      <c r="M610" t="s">
        <v>69</v>
      </c>
      <c r="N610" t="s">
        <v>74</v>
      </c>
      <c r="O610">
        <v>716</v>
      </c>
      <c r="P610" t="s">
        <v>79</v>
      </c>
      <c r="Q610" t="s">
        <v>85</v>
      </c>
      <c r="R610" t="s">
        <v>91</v>
      </c>
      <c r="S610" t="s">
        <v>105</v>
      </c>
      <c r="T610" t="s">
        <v>114</v>
      </c>
    </row>
    <row r="611" spans="1:20">
      <c r="A611" t="s">
        <v>21</v>
      </c>
      <c r="B611" t="s">
        <v>28</v>
      </c>
      <c r="C611" t="s">
        <v>37</v>
      </c>
      <c r="E611" s="2">
        <v>46034.2003125</v>
      </c>
      <c r="F611" s="2">
        <v>46034.20037037037</v>
      </c>
      <c r="G611" t="s">
        <v>50</v>
      </c>
      <c r="H611" t="s">
        <v>51</v>
      </c>
      <c r="I611">
        <v>4</v>
      </c>
      <c r="J611">
        <v>4</v>
      </c>
      <c r="K611" t="s">
        <v>54</v>
      </c>
      <c r="L611" t="s">
        <v>68</v>
      </c>
      <c r="M611" t="s">
        <v>69</v>
      </c>
      <c r="N611" t="s">
        <v>74</v>
      </c>
      <c r="O611">
        <v>5</v>
      </c>
      <c r="P611" t="s">
        <v>81</v>
      </c>
      <c r="Q611" t="s">
        <v>85</v>
      </c>
      <c r="R611" t="s">
        <v>93</v>
      </c>
      <c r="S611" t="s">
        <v>107</v>
      </c>
      <c r="T611" t="s">
        <v>114</v>
      </c>
    </row>
    <row r="612" spans="1:20">
      <c r="A612" t="s">
        <v>21</v>
      </c>
      <c r="B612" t="s">
        <v>28</v>
      </c>
      <c r="C612" t="s">
        <v>37</v>
      </c>
      <c r="E612" s="2">
        <v>46034.20037037037</v>
      </c>
      <c r="F612" s="2">
        <v>46034.20064814815</v>
      </c>
      <c r="G612" t="s">
        <v>50</v>
      </c>
      <c r="H612" t="s">
        <v>51</v>
      </c>
      <c r="I612">
        <v>4</v>
      </c>
      <c r="J612">
        <v>4</v>
      </c>
      <c r="K612" t="s">
        <v>54</v>
      </c>
      <c r="L612" t="s">
        <v>68</v>
      </c>
      <c r="M612" t="s">
        <v>69</v>
      </c>
      <c r="N612" t="s">
        <v>75</v>
      </c>
      <c r="O612">
        <v>24</v>
      </c>
      <c r="P612" t="s">
        <v>81</v>
      </c>
      <c r="Q612" t="s">
        <v>85</v>
      </c>
      <c r="R612" t="s">
        <v>93</v>
      </c>
      <c r="S612" t="s">
        <v>107</v>
      </c>
      <c r="T612" t="s">
        <v>114</v>
      </c>
    </row>
    <row r="613" spans="1:20">
      <c r="A613" t="s">
        <v>21</v>
      </c>
      <c r="B613" t="s">
        <v>28</v>
      </c>
      <c r="C613" t="s">
        <v>37</v>
      </c>
      <c r="E613" s="2">
        <v>46034.20064814815</v>
      </c>
      <c r="F613" s="2">
        <v>46034.20230324074</v>
      </c>
      <c r="G613" t="s">
        <v>50</v>
      </c>
      <c r="H613" t="s">
        <v>51</v>
      </c>
      <c r="I613">
        <v>4</v>
      </c>
      <c r="J613">
        <v>4</v>
      </c>
      <c r="K613" t="s">
        <v>54</v>
      </c>
      <c r="L613" t="s">
        <v>68</v>
      </c>
      <c r="M613" t="s">
        <v>69</v>
      </c>
      <c r="N613" t="s">
        <v>74</v>
      </c>
      <c r="O613">
        <v>143</v>
      </c>
      <c r="P613" t="s">
        <v>81</v>
      </c>
      <c r="Q613" t="s">
        <v>85</v>
      </c>
      <c r="R613" t="s">
        <v>93</v>
      </c>
      <c r="S613" t="s">
        <v>107</v>
      </c>
      <c r="T613" t="s">
        <v>114</v>
      </c>
    </row>
    <row r="614" spans="1:20">
      <c r="A614" t="s">
        <v>26</v>
      </c>
      <c r="B614" t="s">
        <v>33</v>
      </c>
      <c r="C614" t="s">
        <v>35</v>
      </c>
      <c r="D614" t="s">
        <v>47</v>
      </c>
      <c r="E614" s="2">
        <v>46034.20151620371</v>
      </c>
      <c r="F614" s="2">
        <v>46034.20459490741</v>
      </c>
      <c r="G614" t="s">
        <v>50</v>
      </c>
      <c r="H614" t="s">
        <v>51</v>
      </c>
      <c r="I614">
        <v>4</v>
      </c>
      <c r="J614">
        <v>4</v>
      </c>
      <c r="L614" t="s">
        <v>68</v>
      </c>
      <c r="M614" t="s">
        <v>70</v>
      </c>
      <c r="N614" t="s">
        <v>74</v>
      </c>
      <c r="O614">
        <v>266</v>
      </c>
      <c r="P614" t="s">
        <v>47</v>
      </c>
      <c r="Q614" t="s">
        <v>84</v>
      </c>
      <c r="R614" t="s">
        <v>97</v>
      </c>
      <c r="S614" t="s">
        <v>111</v>
      </c>
      <c r="T614" t="s">
        <v>116</v>
      </c>
    </row>
    <row r="615" spans="1:20">
      <c r="A615" t="s">
        <v>24</v>
      </c>
      <c r="B615" t="s">
        <v>31</v>
      </c>
      <c r="C615" t="s">
        <v>38</v>
      </c>
      <c r="E615" s="2">
        <v>46034.20153935185</v>
      </c>
      <c r="F615" s="2">
        <v>46034.20368055555</v>
      </c>
      <c r="G615" t="s">
        <v>50</v>
      </c>
      <c r="H615" t="s">
        <v>51</v>
      </c>
      <c r="I615">
        <v>4</v>
      </c>
      <c r="J615">
        <v>4</v>
      </c>
      <c r="K615" t="s">
        <v>56</v>
      </c>
      <c r="L615" t="s">
        <v>67</v>
      </c>
      <c r="N615" t="s">
        <v>74</v>
      </c>
      <c r="O615">
        <v>185</v>
      </c>
      <c r="P615" t="s">
        <v>79</v>
      </c>
      <c r="Q615" t="s">
        <v>85</v>
      </c>
      <c r="R615" t="s">
        <v>91</v>
      </c>
      <c r="S615" t="s">
        <v>105</v>
      </c>
      <c r="T615" t="s">
        <v>114</v>
      </c>
    </row>
    <row r="616" spans="1:20">
      <c r="A616" t="s">
        <v>21</v>
      </c>
      <c r="B616" t="s">
        <v>28</v>
      </c>
      <c r="C616" t="s">
        <v>39</v>
      </c>
      <c r="E616" s="2">
        <v>46034.20230324074</v>
      </c>
      <c r="F616" s="2">
        <v>46034.20309027778</v>
      </c>
      <c r="G616" t="s">
        <v>50</v>
      </c>
      <c r="H616" t="s">
        <v>51</v>
      </c>
      <c r="I616">
        <v>4</v>
      </c>
      <c r="J616">
        <v>4</v>
      </c>
      <c r="K616" t="s">
        <v>54</v>
      </c>
      <c r="L616" t="s">
        <v>68</v>
      </c>
      <c r="M616" t="s">
        <v>69</v>
      </c>
      <c r="N616" t="s">
        <v>74</v>
      </c>
      <c r="O616">
        <v>68</v>
      </c>
      <c r="P616" t="s">
        <v>81</v>
      </c>
      <c r="Q616" t="s">
        <v>85</v>
      </c>
      <c r="R616" t="s">
        <v>93</v>
      </c>
      <c r="S616" t="s">
        <v>107</v>
      </c>
      <c r="T616" t="s">
        <v>114</v>
      </c>
    </row>
    <row r="617" spans="1:20">
      <c r="A617" t="s">
        <v>22</v>
      </c>
      <c r="B617" t="s">
        <v>29</v>
      </c>
      <c r="C617" t="s">
        <v>37</v>
      </c>
      <c r="E617" s="2">
        <v>46034.20237268518</v>
      </c>
      <c r="F617" s="2">
        <v>46034.20309027778</v>
      </c>
      <c r="G617" t="s">
        <v>50</v>
      </c>
      <c r="H617" t="s">
        <v>51</v>
      </c>
      <c r="I617">
        <v>4</v>
      </c>
      <c r="J617">
        <v>4</v>
      </c>
      <c r="K617" t="s">
        <v>54</v>
      </c>
      <c r="L617" t="s">
        <v>64</v>
      </c>
      <c r="M617" t="s">
        <v>69</v>
      </c>
      <c r="N617" t="s">
        <v>74</v>
      </c>
      <c r="O617">
        <v>62</v>
      </c>
      <c r="P617" t="s">
        <v>81</v>
      </c>
      <c r="Q617" t="s">
        <v>85</v>
      </c>
      <c r="R617" t="s">
        <v>93</v>
      </c>
      <c r="S617" t="s">
        <v>107</v>
      </c>
      <c r="T617" t="s">
        <v>114</v>
      </c>
    </row>
    <row r="618" spans="1:20">
      <c r="A618" t="s">
        <v>22</v>
      </c>
      <c r="B618" t="s">
        <v>29</v>
      </c>
      <c r="C618" t="s">
        <v>39</v>
      </c>
      <c r="E618" s="2">
        <v>46034.20309027778</v>
      </c>
      <c r="F618" s="2">
        <v>46034.20391203704</v>
      </c>
      <c r="G618" t="s">
        <v>50</v>
      </c>
      <c r="H618" t="s">
        <v>51</v>
      </c>
      <c r="I618">
        <v>4</v>
      </c>
      <c r="J618">
        <v>4</v>
      </c>
      <c r="K618" t="s">
        <v>54</v>
      </c>
      <c r="L618" t="s">
        <v>64</v>
      </c>
      <c r="M618" t="s">
        <v>69</v>
      </c>
      <c r="N618" t="s">
        <v>74</v>
      </c>
      <c r="O618">
        <v>71</v>
      </c>
      <c r="P618" t="s">
        <v>81</v>
      </c>
      <c r="Q618" t="s">
        <v>85</v>
      </c>
      <c r="R618" t="s">
        <v>93</v>
      </c>
      <c r="S618" t="s">
        <v>107</v>
      </c>
      <c r="T618" t="s">
        <v>114</v>
      </c>
    </row>
    <row r="619" spans="1:20">
      <c r="A619" t="s">
        <v>21</v>
      </c>
      <c r="B619" t="s">
        <v>28</v>
      </c>
      <c r="C619" t="s">
        <v>37</v>
      </c>
      <c r="E619" s="2">
        <v>46034.20309027778</v>
      </c>
      <c r="F619" s="2">
        <v>46034.20331018518</v>
      </c>
      <c r="G619" t="s">
        <v>50</v>
      </c>
      <c r="H619" t="s">
        <v>51</v>
      </c>
      <c r="I619">
        <v>4</v>
      </c>
      <c r="J619">
        <v>4</v>
      </c>
      <c r="K619" t="s">
        <v>54</v>
      </c>
      <c r="L619" t="s">
        <v>68</v>
      </c>
      <c r="M619" t="s">
        <v>69</v>
      </c>
      <c r="N619" t="s">
        <v>74</v>
      </c>
      <c r="O619">
        <v>19</v>
      </c>
      <c r="P619" t="s">
        <v>81</v>
      </c>
      <c r="Q619" t="s">
        <v>85</v>
      </c>
      <c r="R619" t="s">
        <v>93</v>
      </c>
      <c r="S619" t="s">
        <v>107</v>
      </c>
      <c r="T619" t="s">
        <v>114</v>
      </c>
    </row>
    <row r="620" spans="1:20">
      <c r="A620" t="s">
        <v>21</v>
      </c>
      <c r="B620" t="s">
        <v>28</v>
      </c>
      <c r="C620" t="s">
        <v>37</v>
      </c>
      <c r="E620" s="2">
        <v>46034.20331018518</v>
      </c>
      <c r="F620" s="2">
        <v>46034.20383101852</v>
      </c>
      <c r="G620" t="s">
        <v>50</v>
      </c>
      <c r="H620" t="s">
        <v>51</v>
      </c>
      <c r="I620">
        <v>4</v>
      </c>
      <c r="J620">
        <v>4</v>
      </c>
      <c r="K620" t="s">
        <v>54</v>
      </c>
      <c r="L620" t="s">
        <v>68</v>
      </c>
      <c r="M620" t="s">
        <v>69</v>
      </c>
      <c r="N620" t="s">
        <v>76</v>
      </c>
      <c r="O620">
        <v>45</v>
      </c>
      <c r="P620" t="s">
        <v>81</v>
      </c>
      <c r="Q620" t="s">
        <v>85</v>
      </c>
      <c r="R620" t="s">
        <v>93</v>
      </c>
      <c r="S620" t="s">
        <v>107</v>
      </c>
      <c r="T620" t="s">
        <v>114</v>
      </c>
    </row>
    <row r="621" spans="1:20">
      <c r="A621" t="s">
        <v>24</v>
      </c>
      <c r="B621" t="s">
        <v>31</v>
      </c>
      <c r="C621" t="s">
        <v>37</v>
      </c>
      <c r="E621" s="2">
        <v>46034.20368055555</v>
      </c>
      <c r="F621" s="2">
        <v>46034.20423611111</v>
      </c>
      <c r="G621" t="s">
        <v>50</v>
      </c>
      <c r="H621" t="s">
        <v>51</v>
      </c>
      <c r="I621">
        <v>4</v>
      </c>
      <c r="J621">
        <v>4</v>
      </c>
      <c r="K621" t="s">
        <v>56</v>
      </c>
      <c r="L621" t="s">
        <v>67</v>
      </c>
      <c r="N621" t="s">
        <v>74</v>
      </c>
      <c r="O621">
        <v>48</v>
      </c>
      <c r="P621" t="s">
        <v>81</v>
      </c>
      <c r="Q621" t="s">
        <v>85</v>
      </c>
      <c r="R621" t="s">
        <v>93</v>
      </c>
      <c r="S621" t="s">
        <v>107</v>
      </c>
      <c r="T621" t="s">
        <v>114</v>
      </c>
    </row>
    <row r="622" spans="1:20">
      <c r="A622" t="s">
        <v>21</v>
      </c>
      <c r="B622" t="s">
        <v>28</v>
      </c>
      <c r="C622" t="s">
        <v>37</v>
      </c>
      <c r="E622" s="2">
        <v>46034.20383101852</v>
      </c>
      <c r="F622" s="2">
        <v>46034.20424768519</v>
      </c>
      <c r="G622" t="s">
        <v>50</v>
      </c>
      <c r="H622" t="s">
        <v>51</v>
      </c>
      <c r="I622">
        <v>4</v>
      </c>
      <c r="J622">
        <v>4</v>
      </c>
      <c r="K622" t="s">
        <v>54</v>
      </c>
      <c r="L622" t="s">
        <v>68</v>
      </c>
      <c r="M622" t="s">
        <v>69</v>
      </c>
      <c r="N622" t="s">
        <v>74</v>
      </c>
      <c r="O622">
        <v>36</v>
      </c>
      <c r="P622" t="s">
        <v>81</v>
      </c>
      <c r="Q622" t="s">
        <v>85</v>
      </c>
      <c r="R622" t="s">
        <v>93</v>
      </c>
      <c r="S622" t="s">
        <v>107</v>
      </c>
      <c r="T622" t="s">
        <v>114</v>
      </c>
    </row>
    <row r="623" spans="1:20">
      <c r="A623" t="s">
        <v>22</v>
      </c>
      <c r="B623" t="s">
        <v>29</v>
      </c>
      <c r="C623" t="s">
        <v>37</v>
      </c>
      <c r="E623" s="2">
        <v>46034.20391203704</v>
      </c>
      <c r="F623" s="2">
        <v>46034.20608796296</v>
      </c>
      <c r="G623" t="s">
        <v>50</v>
      </c>
      <c r="H623" t="s">
        <v>51</v>
      </c>
      <c r="I623">
        <v>4</v>
      </c>
      <c r="J623">
        <v>4</v>
      </c>
      <c r="K623" t="s">
        <v>54</v>
      </c>
      <c r="L623" t="s">
        <v>64</v>
      </c>
      <c r="M623" t="s">
        <v>69</v>
      </c>
      <c r="N623" t="s">
        <v>74</v>
      </c>
      <c r="O623">
        <v>188</v>
      </c>
      <c r="P623" t="s">
        <v>80</v>
      </c>
      <c r="Q623" t="s">
        <v>84</v>
      </c>
      <c r="R623" t="s">
        <v>92</v>
      </c>
      <c r="S623" t="s">
        <v>106</v>
      </c>
      <c r="T623" t="s">
        <v>115</v>
      </c>
    </row>
    <row r="624" spans="1:20">
      <c r="A624" t="s">
        <v>24</v>
      </c>
      <c r="B624" t="s">
        <v>31</v>
      </c>
      <c r="C624" t="s">
        <v>35</v>
      </c>
      <c r="D624" t="s">
        <v>46</v>
      </c>
      <c r="E624" s="2">
        <v>46034.20423611111</v>
      </c>
      <c r="F624" s="2">
        <v>46034.20833333334</v>
      </c>
      <c r="G624" t="s">
        <v>50</v>
      </c>
      <c r="H624" t="s">
        <v>51</v>
      </c>
      <c r="I624">
        <v>4</v>
      </c>
      <c r="J624">
        <v>4</v>
      </c>
      <c r="K624" t="s">
        <v>56</v>
      </c>
      <c r="L624" t="s">
        <v>67</v>
      </c>
      <c r="N624" t="s">
        <v>74</v>
      </c>
      <c r="O624">
        <v>354</v>
      </c>
      <c r="P624" t="s">
        <v>46</v>
      </c>
      <c r="Q624" t="s">
        <v>84</v>
      </c>
      <c r="R624" t="s">
        <v>96</v>
      </c>
      <c r="S624" t="s">
        <v>110</v>
      </c>
      <c r="T624" t="s">
        <v>116</v>
      </c>
    </row>
    <row r="625" spans="1:20">
      <c r="A625" t="s">
        <v>21</v>
      </c>
      <c r="B625" t="s">
        <v>28</v>
      </c>
      <c r="C625" t="s">
        <v>38</v>
      </c>
      <c r="E625" s="2">
        <v>46034.20424768519</v>
      </c>
      <c r="F625" s="2">
        <v>46034.2046412037</v>
      </c>
      <c r="G625" t="s">
        <v>50</v>
      </c>
      <c r="H625" t="s">
        <v>51</v>
      </c>
      <c r="I625">
        <v>4</v>
      </c>
      <c r="J625">
        <v>4</v>
      </c>
      <c r="K625" t="s">
        <v>54</v>
      </c>
      <c r="L625" t="s">
        <v>68</v>
      </c>
      <c r="M625" t="s">
        <v>69</v>
      </c>
      <c r="N625" t="s">
        <v>74</v>
      </c>
      <c r="O625">
        <v>34</v>
      </c>
      <c r="P625" t="s">
        <v>79</v>
      </c>
      <c r="Q625" t="s">
        <v>85</v>
      </c>
      <c r="R625" t="s">
        <v>91</v>
      </c>
      <c r="S625" t="s">
        <v>105</v>
      </c>
      <c r="T625" t="s">
        <v>114</v>
      </c>
    </row>
    <row r="626" spans="1:20">
      <c r="A626" t="s">
        <v>26</v>
      </c>
      <c r="B626" t="s">
        <v>33</v>
      </c>
      <c r="C626" t="s">
        <v>35</v>
      </c>
      <c r="D626" t="s">
        <v>47</v>
      </c>
      <c r="E626" s="2">
        <v>46034.20459490741</v>
      </c>
      <c r="F626" s="2">
        <v>46034.20604166666</v>
      </c>
      <c r="G626" t="s">
        <v>50</v>
      </c>
      <c r="H626" t="s">
        <v>51</v>
      </c>
      <c r="I626">
        <v>4</v>
      </c>
      <c r="J626">
        <v>4</v>
      </c>
      <c r="L626" t="s">
        <v>68</v>
      </c>
      <c r="M626" t="s">
        <v>71</v>
      </c>
      <c r="N626" t="s">
        <v>74</v>
      </c>
      <c r="O626">
        <v>125</v>
      </c>
      <c r="P626" t="s">
        <v>47</v>
      </c>
      <c r="Q626" t="s">
        <v>84</v>
      </c>
      <c r="R626" t="s">
        <v>97</v>
      </c>
      <c r="S626" t="s">
        <v>111</v>
      </c>
      <c r="T626" t="s">
        <v>116</v>
      </c>
    </row>
    <row r="627" spans="1:20">
      <c r="A627" t="s">
        <v>21</v>
      </c>
      <c r="B627" t="s">
        <v>28</v>
      </c>
      <c r="C627" t="s">
        <v>36</v>
      </c>
      <c r="E627" s="2">
        <v>46034.2046412037</v>
      </c>
      <c r="F627" s="2">
        <v>46034.20833333334</v>
      </c>
      <c r="G627" t="s">
        <v>50</v>
      </c>
      <c r="H627" t="s">
        <v>51</v>
      </c>
      <c r="I627">
        <v>4</v>
      </c>
      <c r="J627">
        <v>4</v>
      </c>
      <c r="K627" t="s">
        <v>54</v>
      </c>
      <c r="L627" t="s">
        <v>68</v>
      </c>
      <c r="M627" t="s">
        <v>69</v>
      </c>
      <c r="N627" t="s">
        <v>74</v>
      </c>
      <c r="O627">
        <v>319</v>
      </c>
      <c r="P627" t="s">
        <v>79</v>
      </c>
      <c r="Q627" t="s">
        <v>85</v>
      </c>
      <c r="R627" t="s">
        <v>91</v>
      </c>
      <c r="S627" t="s">
        <v>105</v>
      </c>
      <c r="T627" t="s">
        <v>114</v>
      </c>
    </row>
    <row r="628" spans="1:20">
      <c r="A628" t="s">
        <v>26</v>
      </c>
      <c r="B628" t="s">
        <v>33</v>
      </c>
      <c r="C628" t="s">
        <v>35</v>
      </c>
      <c r="D628" t="s">
        <v>47</v>
      </c>
      <c r="E628" s="2">
        <v>46034.20604166666</v>
      </c>
      <c r="F628" s="2">
        <v>46034.20614583333</v>
      </c>
      <c r="G628" t="s">
        <v>50</v>
      </c>
      <c r="H628" t="s">
        <v>51</v>
      </c>
      <c r="I628">
        <v>4</v>
      </c>
      <c r="J628">
        <v>4</v>
      </c>
      <c r="L628" t="s">
        <v>68</v>
      </c>
      <c r="M628" t="s">
        <v>71</v>
      </c>
      <c r="N628" t="s">
        <v>74</v>
      </c>
      <c r="O628">
        <v>9</v>
      </c>
      <c r="P628" t="s">
        <v>47</v>
      </c>
      <c r="Q628" t="s">
        <v>84</v>
      </c>
      <c r="R628" t="s">
        <v>97</v>
      </c>
      <c r="S628" t="s">
        <v>111</v>
      </c>
      <c r="T628" t="s">
        <v>116</v>
      </c>
    </row>
    <row r="629" spans="1:20">
      <c r="A629" t="s">
        <v>22</v>
      </c>
      <c r="B629" t="s">
        <v>29</v>
      </c>
      <c r="C629" t="s">
        <v>39</v>
      </c>
      <c r="E629" s="2">
        <v>46034.20608796296</v>
      </c>
      <c r="F629" s="2">
        <v>46034.20655092593</v>
      </c>
      <c r="G629" t="s">
        <v>50</v>
      </c>
      <c r="H629" t="s">
        <v>51</v>
      </c>
      <c r="I629">
        <v>4</v>
      </c>
      <c r="J629">
        <v>4</v>
      </c>
      <c r="K629" t="s">
        <v>54</v>
      </c>
      <c r="L629" t="s">
        <v>64</v>
      </c>
      <c r="M629" t="s">
        <v>69</v>
      </c>
      <c r="N629" t="s">
        <v>74</v>
      </c>
      <c r="O629">
        <v>40</v>
      </c>
      <c r="P629" t="s">
        <v>81</v>
      </c>
      <c r="Q629" t="s">
        <v>85</v>
      </c>
      <c r="R629" t="s">
        <v>93</v>
      </c>
      <c r="S629" t="s">
        <v>107</v>
      </c>
      <c r="T629" t="s">
        <v>114</v>
      </c>
    </row>
    <row r="630" spans="1:20">
      <c r="A630" t="s">
        <v>26</v>
      </c>
      <c r="B630" t="s">
        <v>33</v>
      </c>
      <c r="C630" t="s">
        <v>35</v>
      </c>
      <c r="D630" t="s">
        <v>47</v>
      </c>
      <c r="E630" s="2">
        <v>46034.20614583333</v>
      </c>
      <c r="F630" s="2">
        <v>46034.20684027778</v>
      </c>
      <c r="G630" t="s">
        <v>50</v>
      </c>
      <c r="H630" t="s">
        <v>51</v>
      </c>
      <c r="I630">
        <v>4</v>
      </c>
      <c r="J630">
        <v>4</v>
      </c>
      <c r="L630" t="s">
        <v>68</v>
      </c>
      <c r="M630" t="s">
        <v>71</v>
      </c>
      <c r="N630" t="s">
        <v>74</v>
      </c>
      <c r="O630">
        <v>60</v>
      </c>
      <c r="P630" t="s">
        <v>47</v>
      </c>
      <c r="Q630" t="s">
        <v>84</v>
      </c>
      <c r="R630" t="s">
        <v>97</v>
      </c>
      <c r="S630" t="s">
        <v>111</v>
      </c>
      <c r="T630" t="s">
        <v>116</v>
      </c>
    </row>
    <row r="631" spans="1:20">
      <c r="A631" t="s">
        <v>22</v>
      </c>
      <c r="B631" t="s">
        <v>29</v>
      </c>
      <c r="C631" t="s">
        <v>37</v>
      </c>
      <c r="E631" s="2">
        <v>46034.20655092593</v>
      </c>
      <c r="F631" s="2">
        <v>46034.20802083334</v>
      </c>
      <c r="G631" t="s">
        <v>50</v>
      </c>
      <c r="H631" t="s">
        <v>51</v>
      </c>
      <c r="I631">
        <v>4</v>
      </c>
      <c r="J631">
        <v>4</v>
      </c>
      <c r="K631" t="s">
        <v>54</v>
      </c>
      <c r="L631" t="s">
        <v>64</v>
      </c>
      <c r="M631" t="s">
        <v>69</v>
      </c>
      <c r="N631" t="s">
        <v>74</v>
      </c>
      <c r="O631">
        <v>127</v>
      </c>
      <c r="P631" t="s">
        <v>81</v>
      </c>
      <c r="Q631" t="s">
        <v>85</v>
      </c>
      <c r="R631" t="s">
        <v>93</v>
      </c>
      <c r="S631" t="s">
        <v>107</v>
      </c>
      <c r="T631" t="s">
        <v>114</v>
      </c>
    </row>
    <row r="632" spans="1:20">
      <c r="A632" t="s">
        <v>26</v>
      </c>
      <c r="B632" t="s">
        <v>33</v>
      </c>
      <c r="C632" t="s">
        <v>38</v>
      </c>
      <c r="E632" s="2">
        <v>46034.20684027778</v>
      </c>
      <c r="F632" s="2">
        <v>46034.20833333334</v>
      </c>
      <c r="G632" t="s">
        <v>50</v>
      </c>
      <c r="H632" t="s">
        <v>51</v>
      </c>
      <c r="I632">
        <v>4</v>
      </c>
      <c r="J632">
        <v>4</v>
      </c>
      <c r="L632" t="s">
        <v>68</v>
      </c>
      <c r="M632" t="s">
        <v>71</v>
      </c>
      <c r="N632" t="s">
        <v>74</v>
      </c>
      <c r="O632">
        <v>129</v>
      </c>
      <c r="P632" t="s">
        <v>79</v>
      </c>
      <c r="Q632" t="s">
        <v>85</v>
      </c>
      <c r="R632" t="s">
        <v>91</v>
      </c>
      <c r="S632" t="s">
        <v>105</v>
      </c>
      <c r="T632" t="s">
        <v>114</v>
      </c>
    </row>
    <row r="633" spans="1:20">
      <c r="A633" t="s">
        <v>22</v>
      </c>
      <c r="B633" t="s">
        <v>29</v>
      </c>
      <c r="C633" t="s">
        <v>35</v>
      </c>
      <c r="D633" t="s">
        <v>40</v>
      </c>
      <c r="E633" s="2">
        <v>46034.20802083334</v>
      </c>
      <c r="F633" s="2">
        <v>46034.20833333334</v>
      </c>
      <c r="G633" t="s">
        <v>50</v>
      </c>
      <c r="H633" t="s">
        <v>51</v>
      </c>
      <c r="I633">
        <v>4</v>
      </c>
      <c r="J633">
        <v>4</v>
      </c>
      <c r="K633" t="s">
        <v>54</v>
      </c>
      <c r="L633" t="s">
        <v>64</v>
      </c>
      <c r="M633" t="s">
        <v>69</v>
      </c>
      <c r="N633" t="s">
        <v>74</v>
      </c>
      <c r="O633">
        <v>27</v>
      </c>
      <c r="P633" t="s">
        <v>40</v>
      </c>
      <c r="Q633" t="s">
        <v>83</v>
      </c>
      <c r="R633" t="s">
        <v>87</v>
      </c>
      <c r="S633" t="s">
        <v>101</v>
      </c>
      <c r="T633" t="s">
        <v>115</v>
      </c>
    </row>
    <row r="634" spans="1:20">
      <c r="A634" t="s">
        <v>22</v>
      </c>
      <c r="B634" t="s">
        <v>29</v>
      </c>
      <c r="C634" t="s">
        <v>35</v>
      </c>
      <c r="D634" t="s">
        <v>40</v>
      </c>
      <c r="E634" s="2">
        <v>46034.20833333334</v>
      </c>
      <c r="F634" s="2">
        <v>46034.21149305555</v>
      </c>
      <c r="G634" t="s">
        <v>50</v>
      </c>
      <c r="H634" t="s">
        <v>51</v>
      </c>
      <c r="I634">
        <v>5</v>
      </c>
      <c r="J634">
        <v>5</v>
      </c>
      <c r="K634" t="s">
        <v>54</v>
      </c>
      <c r="L634" t="s">
        <v>64</v>
      </c>
      <c r="M634" t="s">
        <v>69</v>
      </c>
      <c r="N634" t="s">
        <v>74</v>
      </c>
      <c r="O634">
        <v>273</v>
      </c>
      <c r="P634" t="s">
        <v>40</v>
      </c>
      <c r="Q634" t="s">
        <v>83</v>
      </c>
      <c r="R634" t="s">
        <v>87</v>
      </c>
      <c r="S634" t="s">
        <v>101</v>
      </c>
      <c r="T634" t="s">
        <v>115</v>
      </c>
    </row>
    <row r="635" spans="1:20">
      <c r="A635" t="s">
        <v>21</v>
      </c>
      <c r="B635" t="s">
        <v>28</v>
      </c>
      <c r="C635" t="s">
        <v>36</v>
      </c>
      <c r="E635" s="2">
        <v>46034.20833333334</v>
      </c>
      <c r="F635" s="2">
        <v>46034.24083333334</v>
      </c>
      <c r="G635" t="s">
        <v>50</v>
      </c>
      <c r="H635" t="s">
        <v>51</v>
      </c>
      <c r="I635">
        <v>5</v>
      </c>
      <c r="J635">
        <v>5</v>
      </c>
      <c r="K635" t="s">
        <v>54</v>
      </c>
      <c r="L635" t="s">
        <v>68</v>
      </c>
      <c r="M635" t="s">
        <v>69</v>
      </c>
      <c r="N635" t="s">
        <v>74</v>
      </c>
      <c r="O635">
        <v>2808</v>
      </c>
      <c r="P635" t="s">
        <v>79</v>
      </c>
      <c r="Q635" t="s">
        <v>85</v>
      </c>
      <c r="R635" t="s">
        <v>91</v>
      </c>
      <c r="S635" t="s">
        <v>105</v>
      </c>
      <c r="T635" t="s">
        <v>114</v>
      </c>
    </row>
    <row r="636" spans="1:20">
      <c r="A636" t="s">
        <v>20</v>
      </c>
      <c r="B636" t="s">
        <v>27</v>
      </c>
      <c r="C636" t="s">
        <v>35</v>
      </c>
      <c r="D636" t="s">
        <v>46</v>
      </c>
      <c r="E636" s="2">
        <v>46034.20833333334</v>
      </c>
      <c r="F636" s="2">
        <v>46034.21501157407</v>
      </c>
      <c r="G636" t="s">
        <v>50</v>
      </c>
      <c r="H636" t="s">
        <v>51</v>
      </c>
      <c r="I636">
        <v>5</v>
      </c>
      <c r="J636">
        <v>5</v>
      </c>
      <c r="K636" t="s">
        <v>52</v>
      </c>
      <c r="L636" t="s">
        <v>66</v>
      </c>
      <c r="O636">
        <v>577</v>
      </c>
      <c r="P636" t="s">
        <v>46</v>
      </c>
      <c r="Q636" t="s">
        <v>84</v>
      </c>
      <c r="R636" t="s">
        <v>96</v>
      </c>
      <c r="S636" t="s">
        <v>110</v>
      </c>
      <c r="T636" t="s">
        <v>116</v>
      </c>
    </row>
    <row r="637" spans="1:20">
      <c r="A637" t="s">
        <v>24</v>
      </c>
      <c r="B637" t="s">
        <v>31</v>
      </c>
      <c r="C637" t="s">
        <v>35</v>
      </c>
      <c r="D637" t="s">
        <v>46</v>
      </c>
      <c r="E637" s="2">
        <v>46034.20833333334</v>
      </c>
      <c r="F637" s="2">
        <v>46034.24576388889</v>
      </c>
      <c r="G637" t="s">
        <v>50</v>
      </c>
      <c r="H637" t="s">
        <v>51</v>
      </c>
      <c r="I637">
        <v>5</v>
      </c>
      <c r="J637">
        <v>5</v>
      </c>
      <c r="K637" t="s">
        <v>56</v>
      </c>
      <c r="L637" t="s">
        <v>67</v>
      </c>
      <c r="N637" t="s">
        <v>74</v>
      </c>
      <c r="O637">
        <v>3234</v>
      </c>
      <c r="P637" t="s">
        <v>46</v>
      </c>
      <c r="Q637" t="s">
        <v>84</v>
      </c>
      <c r="R637" t="s">
        <v>96</v>
      </c>
      <c r="S637" t="s">
        <v>110</v>
      </c>
      <c r="T637" t="s">
        <v>116</v>
      </c>
    </row>
    <row r="638" spans="1:20">
      <c r="A638" t="s">
        <v>23</v>
      </c>
      <c r="B638" t="s">
        <v>30</v>
      </c>
      <c r="C638" t="s">
        <v>36</v>
      </c>
      <c r="E638" s="2">
        <v>46034.20833333334</v>
      </c>
      <c r="F638" s="2">
        <v>46034.2121412037</v>
      </c>
      <c r="G638" t="s">
        <v>50</v>
      </c>
      <c r="H638" t="s">
        <v>51</v>
      </c>
      <c r="I638">
        <v>5</v>
      </c>
      <c r="J638">
        <v>5</v>
      </c>
      <c r="K638" t="s">
        <v>55</v>
      </c>
      <c r="L638" t="s">
        <v>65</v>
      </c>
      <c r="M638" t="s">
        <v>69</v>
      </c>
      <c r="N638" t="s">
        <v>74</v>
      </c>
      <c r="O638">
        <v>329</v>
      </c>
      <c r="P638" t="s">
        <v>79</v>
      </c>
      <c r="Q638" t="s">
        <v>85</v>
      </c>
      <c r="R638" t="s">
        <v>91</v>
      </c>
      <c r="S638" t="s">
        <v>105</v>
      </c>
      <c r="T638" t="s">
        <v>114</v>
      </c>
    </row>
    <row r="639" spans="1:20">
      <c r="A639" t="s">
        <v>26</v>
      </c>
      <c r="B639" t="s">
        <v>33</v>
      </c>
      <c r="C639" t="s">
        <v>38</v>
      </c>
      <c r="E639" s="2">
        <v>46034.20833333334</v>
      </c>
      <c r="F639" s="2">
        <v>46034.21255787037</v>
      </c>
      <c r="G639" t="s">
        <v>50</v>
      </c>
      <c r="H639" t="s">
        <v>51</v>
      </c>
      <c r="I639">
        <v>5</v>
      </c>
      <c r="J639">
        <v>5</v>
      </c>
      <c r="L639" t="s">
        <v>68</v>
      </c>
      <c r="M639" t="s">
        <v>71</v>
      </c>
      <c r="N639" t="s">
        <v>74</v>
      </c>
      <c r="O639">
        <v>365</v>
      </c>
      <c r="P639" t="s">
        <v>79</v>
      </c>
      <c r="Q639" t="s">
        <v>85</v>
      </c>
      <c r="R639" t="s">
        <v>91</v>
      </c>
      <c r="S639" t="s">
        <v>105</v>
      </c>
      <c r="T639" t="s">
        <v>114</v>
      </c>
    </row>
    <row r="640" spans="1:20">
      <c r="A640" t="s">
        <v>25</v>
      </c>
      <c r="B640" t="s">
        <v>32</v>
      </c>
      <c r="C640" t="s">
        <v>38</v>
      </c>
      <c r="E640" s="2">
        <v>46034.20833333334</v>
      </c>
      <c r="F640" s="2">
        <v>46034.21064814815</v>
      </c>
      <c r="G640" t="s">
        <v>50</v>
      </c>
      <c r="H640" t="s">
        <v>51</v>
      </c>
      <c r="I640">
        <v>5</v>
      </c>
      <c r="J640">
        <v>5</v>
      </c>
      <c r="K640" t="s">
        <v>53</v>
      </c>
      <c r="L640" t="s">
        <v>62</v>
      </c>
      <c r="M640" t="s">
        <v>69</v>
      </c>
      <c r="N640" t="s">
        <v>74</v>
      </c>
      <c r="O640">
        <v>200</v>
      </c>
      <c r="P640" t="s">
        <v>79</v>
      </c>
      <c r="Q640" t="s">
        <v>85</v>
      </c>
      <c r="R640" t="s">
        <v>91</v>
      </c>
      <c r="S640" t="s">
        <v>105</v>
      </c>
      <c r="T640" t="s">
        <v>114</v>
      </c>
    </row>
    <row r="641" spans="1:20">
      <c r="A641" t="s">
        <v>25</v>
      </c>
      <c r="B641" t="s">
        <v>32</v>
      </c>
      <c r="C641" t="s">
        <v>37</v>
      </c>
      <c r="E641" s="2">
        <v>46034.21064814815</v>
      </c>
      <c r="F641" s="2">
        <v>46034.21075231482</v>
      </c>
      <c r="G641" t="s">
        <v>50</v>
      </c>
      <c r="H641" t="s">
        <v>51</v>
      </c>
      <c r="I641">
        <v>5</v>
      </c>
      <c r="J641">
        <v>5</v>
      </c>
      <c r="K641" t="s">
        <v>53</v>
      </c>
      <c r="L641" t="s">
        <v>62</v>
      </c>
      <c r="M641" t="s">
        <v>69</v>
      </c>
      <c r="N641" t="s">
        <v>74</v>
      </c>
      <c r="O641">
        <v>9</v>
      </c>
      <c r="P641" t="s">
        <v>81</v>
      </c>
      <c r="Q641" t="s">
        <v>85</v>
      </c>
      <c r="R641" t="s">
        <v>93</v>
      </c>
      <c r="S641" t="s">
        <v>107</v>
      </c>
      <c r="T641" t="s">
        <v>114</v>
      </c>
    </row>
    <row r="642" spans="1:20">
      <c r="A642" t="s">
        <v>25</v>
      </c>
      <c r="B642" t="s">
        <v>32</v>
      </c>
      <c r="C642" t="s">
        <v>37</v>
      </c>
      <c r="E642" s="2">
        <v>46034.21075231482</v>
      </c>
      <c r="F642" s="2">
        <v>46034.21083333333</v>
      </c>
      <c r="G642" t="s">
        <v>50</v>
      </c>
      <c r="H642" t="s">
        <v>51</v>
      </c>
      <c r="I642">
        <v>5</v>
      </c>
      <c r="J642">
        <v>5</v>
      </c>
      <c r="K642" t="s">
        <v>53</v>
      </c>
      <c r="L642" t="s">
        <v>62</v>
      </c>
      <c r="M642" t="s">
        <v>70</v>
      </c>
      <c r="N642" t="s">
        <v>74</v>
      </c>
      <c r="O642">
        <v>7</v>
      </c>
      <c r="P642" t="s">
        <v>81</v>
      </c>
      <c r="Q642" t="s">
        <v>85</v>
      </c>
      <c r="R642" t="s">
        <v>93</v>
      </c>
      <c r="S642" t="s">
        <v>107</v>
      </c>
      <c r="T642" t="s">
        <v>114</v>
      </c>
    </row>
    <row r="643" spans="1:20">
      <c r="A643" t="s">
        <v>25</v>
      </c>
      <c r="B643" t="s">
        <v>32</v>
      </c>
      <c r="C643" t="s">
        <v>37</v>
      </c>
      <c r="E643" s="2">
        <v>46034.21083333333</v>
      </c>
      <c r="F643" s="2">
        <v>46034.2109375</v>
      </c>
      <c r="G643" t="s">
        <v>50</v>
      </c>
      <c r="H643" t="s">
        <v>51</v>
      </c>
      <c r="I643">
        <v>5</v>
      </c>
      <c r="J643">
        <v>5</v>
      </c>
      <c r="K643" t="s">
        <v>53</v>
      </c>
      <c r="L643" t="s">
        <v>62</v>
      </c>
      <c r="M643" t="s">
        <v>71</v>
      </c>
      <c r="N643" t="s">
        <v>74</v>
      </c>
      <c r="O643">
        <v>9</v>
      </c>
      <c r="P643" t="s">
        <v>81</v>
      </c>
      <c r="Q643" t="s">
        <v>85</v>
      </c>
      <c r="R643" t="s">
        <v>93</v>
      </c>
      <c r="S643" t="s">
        <v>107</v>
      </c>
      <c r="T643" t="s">
        <v>114</v>
      </c>
    </row>
    <row r="644" spans="1:20">
      <c r="A644" t="s">
        <v>25</v>
      </c>
      <c r="B644" t="s">
        <v>32</v>
      </c>
      <c r="C644" t="s">
        <v>38</v>
      </c>
      <c r="E644" s="2">
        <v>46034.2109375</v>
      </c>
      <c r="F644" s="2">
        <v>46034.22289351852</v>
      </c>
      <c r="G644" t="s">
        <v>50</v>
      </c>
      <c r="H644" t="s">
        <v>51</v>
      </c>
      <c r="I644">
        <v>5</v>
      </c>
      <c r="J644">
        <v>5</v>
      </c>
      <c r="K644" t="s">
        <v>53</v>
      </c>
      <c r="L644" t="s">
        <v>62</v>
      </c>
      <c r="M644" t="s">
        <v>71</v>
      </c>
      <c r="N644" t="s">
        <v>74</v>
      </c>
      <c r="O644">
        <v>1033</v>
      </c>
      <c r="P644" t="s">
        <v>79</v>
      </c>
      <c r="Q644" t="s">
        <v>85</v>
      </c>
      <c r="R644" t="s">
        <v>91</v>
      </c>
      <c r="S644" t="s">
        <v>105</v>
      </c>
      <c r="T644" t="s">
        <v>114</v>
      </c>
    </row>
    <row r="645" spans="1:20">
      <c r="A645" t="s">
        <v>22</v>
      </c>
      <c r="B645" t="s">
        <v>29</v>
      </c>
      <c r="C645" t="s">
        <v>35</v>
      </c>
      <c r="D645" t="s">
        <v>40</v>
      </c>
      <c r="E645" s="2">
        <v>46034.21149305555</v>
      </c>
      <c r="F645" s="2">
        <v>46034.2115625</v>
      </c>
      <c r="G645" t="s">
        <v>50</v>
      </c>
      <c r="H645" t="s">
        <v>51</v>
      </c>
      <c r="I645">
        <v>5</v>
      </c>
      <c r="J645">
        <v>5</v>
      </c>
      <c r="K645" t="s">
        <v>54</v>
      </c>
      <c r="L645" t="s">
        <v>64</v>
      </c>
      <c r="M645" t="s">
        <v>72</v>
      </c>
      <c r="N645" t="s">
        <v>74</v>
      </c>
      <c r="O645">
        <v>6</v>
      </c>
      <c r="P645" t="s">
        <v>40</v>
      </c>
      <c r="Q645" t="s">
        <v>83</v>
      </c>
      <c r="R645" t="s">
        <v>87</v>
      </c>
      <c r="S645" t="s">
        <v>101</v>
      </c>
      <c r="T645" t="s">
        <v>115</v>
      </c>
    </row>
    <row r="646" spans="1:20">
      <c r="A646" t="s">
        <v>22</v>
      </c>
      <c r="B646" t="s">
        <v>29</v>
      </c>
      <c r="C646" t="s">
        <v>35</v>
      </c>
      <c r="D646" t="s">
        <v>40</v>
      </c>
      <c r="E646" s="2">
        <v>46034.2115625</v>
      </c>
      <c r="F646" s="2">
        <v>46034.24064814814</v>
      </c>
      <c r="G646" t="s">
        <v>50</v>
      </c>
      <c r="H646" t="s">
        <v>51</v>
      </c>
      <c r="I646">
        <v>5</v>
      </c>
      <c r="J646">
        <v>5</v>
      </c>
      <c r="K646" t="s">
        <v>54</v>
      </c>
      <c r="L646" t="s">
        <v>64</v>
      </c>
      <c r="M646" t="s">
        <v>69</v>
      </c>
      <c r="N646" t="s">
        <v>74</v>
      </c>
      <c r="O646">
        <v>2513</v>
      </c>
      <c r="P646" t="s">
        <v>40</v>
      </c>
      <c r="Q646" t="s">
        <v>83</v>
      </c>
      <c r="R646" t="s">
        <v>87</v>
      </c>
      <c r="S646" t="s">
        <v>101</v>
      </c>
      <c r="T646" t="s">
        <v>115</v>
      </c>
    </row>
    <row r="647" spans="1:20">
      <c r="A647" t="s">
        <v>23</v>
      </c>
      <c r="B647" t="s">
        <v>30</v>
      </c>
      <c r="C647" t="s">
        <v>38</v>
      </c>
      <c r="E647" s="2">
        <v>46034.2121412037</v>
      </c>
      <c r="F647" s="2">
        <v>46034.21359953703</v>
      </c>
      <c r="G647" t="s">
        <v>50</v>
      </c>
      <c r="H647" t="s">
        <v>51</v>
      </c>
      <c r="I647">
        <v>5</v>
      </c>
      <c r="J647">
        <v>5</v>
      </c>
      <c r="K647" t="s">
        <v>55</v>
      </c>
      <c r="L647" t="s">
        <v>65</v>
      </c>
      <c r="M647" t="s">
        <v>69</v>
      </c>
      <c r="N647" t="s">
        <v>74</v>
      </c>
      <c r="O647">
        <v>126</v>
      </c>
      <c r="P647" t="s">
        <v>79</v>
      </c>
      <c r="Q647" t="s">
        <v>85</v>
      </c>
      <c r="R647" t="s">
        <v>91</v>
      </c>
      <c r="S647" t="s">
        <v>105</v>
      </c>
      <c r="T647" t="s">
        <v>114</v>
      </c>
    </row>
    <row r="648" spans="1:20">
      <c r="A648" t="s">
        <v>26</v>
      </c>
      <c r="B648" t="s">
        <v>33</v>
      </c>
      <c r="C648" t="s">
        <v>38</v>
      </c>
      <c r="E648" s="2">
        <v>46034.21255787037</v>
      </c>
      <c r="F648" s="2">
        <v>46034.23731481482</v>
      </c>
      <c r="G648" t="s">
        <v>50</v>
      </c>
      <c r="H648" t="s">
        <v>51</v>
      </c>
      <c r="I648">
        <v>5</v>
      </c>
      <c r="J648">
        <v>5</v>
      </c>
      <c r="L648" t="s">
        <v>63</v>
      </c>
      <c r="M648" t="s">
        <v>71</v>
      </c>
      <c r="N648" t="s">
        <v>74</v>
      </c>
      <c r="O648">
        <v>2139</v>
      </c>
      <c r="P648" t="s">
        <v>79</v>
      </c>
      <c r="Q648" t="s">
        <v>85</v>
      </c>
      <c r="R648" t="s">
        <v>91</v>
      </c>
      <c r="S648" t="s">
        <v>105</v>
      </c>
      <c r="T648" t="s">
        <v>114</v>
      </c>
    </row>
    <row r="649" spans="1:20">
      <c r="A649" t="s">
        <v>23</v>
      </c>
      <c r="B649" t="s">
        <v>30</v>
      </c>
      <c r="C649" t="s">
        <v>37</v>
      </c>
      <c r="E649" s="2">
        <v>46034.21359953703</v>
      </c>
      <c r="F649" s="2">
        <v>46034.21362268519</v>
      </c>
      <c r="G649" t="s">
        <v>50</v>
      </c>
      <c r="H649" t="s">
        <v>51</v>
      </c>
      <c r="I649">
        <v>5</v>
      </c>
      <c r="J649">
        <v>5</v>
      </c>
      <c r="K649" t="s">
        <v>55</v>
      </c>
      <c r="L649" t="s">
        <v>65</v>
      </c>
      <c r="M649" t="s">
        <v>69</v>
      </c>
      <c r="N649" t="s">
        <v>74</v>
      </c>
      <c r="O649">
        <v>2</v>
      </c>
      <c r="P649" t="s">
        <v>81</v>
      </c>
      <c r="Q649" t="s">
        <v>85</v>
      </c>
      <c r="R649" t="s">
        <v>93</v>
      </c>
      <c r="S649" t="s">
        <v>107</v>
      </c>
      <c r="T649" t="s">
        <v>114</v>
      </c>
    </row>
    <row r="650" spans="1:20">
      <c r="A650" t="s">
        <v>23</v>
      </c>
      <c r="B650" t="s">
        <v>30</v>
      </c>
      <c r="C650" t="s">
        <v>37</v>
      </c>
      <c r="E650" s="2">
        <v>46034.21362268519</v>
      </c>
      <c r="F650" s="2">
        <v>46034.21385416666</v>
      </c>
      <c r="G650" t="s">
        <v>50</v>
      </c>
      <c r="H650" t="s">
        <v>51</v>
      </c>
      <c r="I650">
        <v>5</v>
      </c>
      <c r="J650">
        <v>5</v>
      </c>
      <c r="K650" t="s">
        <v>55</v>
      </c>
      <c r="L650" t="s">
        <v>65</v>
      </c>
      <c r="M650" t="s">
        <v>69</v>
      </c>
      <c r="N650" t="s">
        <v>75</v>
      </c>
      <c r="O650">
        <v>20</v>
      </c>
      <c r="P650" t="s">
        <v>81</v>
      </c>
      <c r="Q650" t="s">
        <v>85</v>
      </c>
      <c r="R650" t="s">
        <v>93</v>
      </c>
      <c r="S650" t="s">
        <v>107</v>
      </c>
      <c r="T650" t="s">
        <v>114</v>
      </c>
    </row>
    <row r="651" spans="1:20">
      <c r="A651" t="s">
        <v>23</v>
      </c>
      <c r="B651" t="s">
        <v>30</v>
      </c>
      <c r="C651" t="s">
        <v>37</v>
      </c>
      <c r="E651" s="2">
        <v>46034.21385416666</v>
      </c>
      <c r="F651" s="2">
        <v>46034.21387731482</v>
      </c>
      <c r="G651" t="s">
        <v>50</v>
      </c>
      <c r="H651" t="s">
        <v>51</v>
      </c>
      <c r="I651">
        <v>5</v>
      </c>
      <c r="J651">
        <v>5</v>
      </c>
      <c r="K651" t="s">
        <v>55</v>
      </c>
      <c r="L651" t="s">
        <v>65</v>
      </c>
      <c r="M651" t="s">
        <v>69</v>
      </c>
      <c r="N651" t="s">
        <v>74</v>
      </c>
      <c r="O651">
        <v>2</v>
      </c>
      <c r="P651" t="s">
        <v>81</v>
      </c>
      <c r="Q651" t="s">
        <v>85</v>
      </c>
      <c r="R651" t="s">
        <v>93</v>
      </c>
      <c r="S651" t="s">
        <v>107</v>
      </c>
      <c r="T651" t="s">
        <v>114</v>
      </c>
    </row>
    <row r="652" spans="1:20">
      <c r="A652" t="s">
        <v>23</v>
      </c>
      <c r="B652" t="s">
        <v>30</v>
      </c>
      <c r="C652" t="s">
        <v>39</v>
      </c>
      <c r="E652" s="2">
        <v>46034.21387731482</v>
      </c>
      <c r="F652" s="2">
        <v>46034.21513888889</v>
      </c>
      <c r="G652" t="s">
        <v>50</v>
      </c>
      <c r="H652" t="s">
        <v>51</v>
      </c>
      <c r="I652">
        <v>5</v>
      </c>
      <c r="J652">
        <v>5</v>
      </c>
      <c r="K652" t="s">
        <v>55</v>
      </c>
      <c r="L652" t="s">
        <v>65</v>
      </c>
      <c r="M652" t="s">
        <v>69</v>
      </c>
      <c r="N652" t="s">
        <v>74</v>
      </c>
      <c r="O652">
        <v>109</v>
      </c>
      <c r="P652" t="s">
        <v>81</v>
      </c>
      <c r="Q652" t="s">
        <v>85</v>
      </c>
      <c r="R652" t="s">
        <v>93</v>
      </c>
      <c r="S652" t="s">
        <v>107</v>
      </c>
      <c r="T652" t="s">
        <v>114</v>
      </c>
    </row>
    <row r="653" spans="1:20">
      <c r="A653" t="s">
        <v>20</v>
      </c>
      <c r="B653" t="s">
        <v>27</v>
      </c>
      <c r="C653" t="s">
        <v>36</v>
      </c>
      <c r="E653" s="2">
        <v>46034.21501157407</v>
      </c>
      <c r="F653" s="2">
        <v>46034.2253125</v>
      </c>
      <c r="G653" t="s">
        <v>50</v>
      </c>
      <c r="H653" t="s">
        <v>51</v>
      </c>
      <c r="I653">
        <v>5</v>
      </c>
      <c r="J653">
        <v>5</v>
      </c>
      <c r="K653" t="s">
        <v>52</v>
      </c>
      <c r="L653" t="s">
        <v>66</v>
      </c>
      <c r="O653">
        <v>890</v>
      </c>
      <c r="P653" t="s">
        <v>79</v>
      </c>
      <c r="Q653" t="s">
        <v>85</v>
      </c>
      <c r="R653" t="s">
        <v>91</v>
      </c>
      <c r="S653" t="s">
        <v>105</v>
      </c>
      <c r="T653" t="s">
        <v>114</v>
      </c>
    </row>
    <row r="654" spans="1:20">
      <c r="A654" t="s">
        <v>23</v>
      </c>
      <c r="B654" t="s">
        <v>30</v>
      </c>
      <c r="C654" t="s">
        <v>37</v>
      </c>
      <c r="E654" s="2">
        <v>46034.21513888889</v>
      </c>
      <c r="F654" s="2">
        <v>46034.21576388889</v>
      </c>
      <c r="G654" t="s">
        <v>50</v>
      </c>
      <c r="H654" t="s">
        <v>51</v>
      </c>
      <c r="I654">
        <v>5</v>
      </c>
      <c r="J654">
        <v>5</v>
      </c>
      <c r="K654" t="s">
        <v>55</v>
      </c>
      <c r="L654" t="s">
        <v>65</v>
      </c>
      <c r="M654" t="s">
        <v>69</v>
      </c>
      <c r="N654" t="s">
        <v>74</v>
      </c>
      <c r="O654">
        <v>54</v>
      </c>
      <c r="P654" t="s">
        <v>81</v>
      </c>
      <c r="Q654" t="s">
        <v>85</v>
      </c>
      <c r="R654" t="s">
        <v>93</v>
      </c>
      <c r="S654" t="s">
        <v>107</v>
      </c>
      <c r="T654" t="s">
        <v>114</v>
      </c>
    </row>
    <row r="655" spans="1:20">
      <c r="A655" t="s">
        <v>23</v>
      </c>
      <c r="B655" t="s">
        <v>30</v>
      </c>
      <c r="C655" t="s">
        <v>38</v>
      </c>
      <c r="E655" s="2">
        <v>46034.21576388889</v>
      </c>
      <c r="F655" s="2">
        <v>46034.2159375</v>
      </c>
      <c r="G655" t="s">
        <v>50</v>
      </c>
      <c r="H655" t="s">
        <v>51</v>
      </c>
      <c r="I655">
        <v>5</v>
      </c>
      <c r="J655">
        <v>5</v>
      </c>
      <c r="K655" t="s">
        <v>55</v>
      </c>
      <c r="L655" t="s">
        <v>65</v>
      </c>
      <c r="M655" t="s">
        <v>69</v>
      </c>
      <c r="N655" t="s">
        <v>74</v>
      </c>
      <c r="O655">
        <v>15</v>
      </c>
      <c r="P655" t="s">
        <v>79</v>
      </c>
      <c r="Q655" t="s">
        <v>85</v>
      </c>
      <c r="R655" t="s">
        <v>91</v>
      </c>
      <c r="S655" t="s">
        <v>105</v>
      </c>
      <c r="T655" t="s">
        <v>114</v>
      </c>
    </row>
    <row r="656" spans="1:20">
      <c r="A656" t="s">
        <v>23</v>
      </c>
      <c r="B656" t="s">
        <v>30</v>
      </c>
      <c r="C656" t="s">
        <v>36</v>
      </c>
      <c r="E656" s="2">
        <v>46034.2159375</v>
      </c>
      <c r="F656" s="2">
        <v>46034.23875</v>
      </c>
      <c r="G656" t="s">
        <v>50</v>
      </c>
      <c r="H656" t="s">
        <v>51</v>
      </c>
      <c r="I656">
        <v>5</v>
      </c>
      <c r="J656">
        <v>5</v>
      </c>
      <c r="K656" t="s">
        <v>55</v>
      </c>
      <c r="L656" t="s">
        <v>65</v>
      </c>
      <c r="M656" t="s">
        <v>69</v>
      </c>
      <c r="N656" t="s">
        <v>74</v>
      </c>
      <c r="O656">
        <v>1971</v>
      </c>
      <c r="P656" t="s">
        <v>79</v>
      </c>
      <c r="Q656" t="s">
        <v>85</v>
      </c>
      <c r="R656" t="s">
        <v>91</v>
      </c>
      <c r="S656" t="s">
        <v>105</v>
      </c>
      <c r="T656" t="s">
        <v>114</v>
      </c>
    </row>
    <row r="657" spans="1:20">
      <c r="A657" t="s">
        <v>25</v>
      </c>
      <c r="B657" t="s">
        <v>32</v>
      </c>
      <c r="C657" t="s">
        <v>38</v>
      </c>
      <c r="E657" s="2">
        <v>46034.22289351852</v>
      </c>
      <c r="F657" s="2">
        <v>46034.22292824074</v>
      </c>
      <c r="G657" t="s">
        <v>50</v>
      </c>
      <c r="H657" t="s">
        <v>51</v>
      </c>
      <c r="I657">
        <v>5</v>
      </c>
      <c r="J657">
        <v>5</v>
      </c>
      <c r="K657" t="s">
        <v>53</v>
      </c>
      <c r="L657" t="s">
        <v>62</v>
      </c>
      <c r="M657" t="s">
        <v>73</v>
      </c>
      <c r="N657" t="s">
        <v>74</v>
      </c>
      <c r="O657">
        <v>3</v>
      </c>
      <c r="P657" t="s">
        <v>79</v>
      </c>
      <c r="Q657" t="s">
        <v>85</v>
      </c>
      <c r="R657" t="s">
        <v>91</v>
      </c>
      <c r="S657" t="s">
        <v>105</v>
      </c>
      <c r="T657" t="s">
        <v>114</v>
      </c>
    </row>
    <row r="658" spans="1:20">
      <c r="A658" t="s">
        <v>25</v>
      </c>
      <c r="B658" t="s">
        <v>32</v>
      </c>
      <c r="C658" t="s">
        <v>38</v>
      </c>
      <c r="E658" s="2">
        <v>46034.22292824074</v>
      </c>
      <c r="F658" s="2">
        <v>46034.22366898148</v>
      </c>
      <c r="G658" t="s">
        <v>50</v>
      </c>
      <c r="H658" t="s">
        <v>51</v>
      </c>
      <c r="I658">
        <v>5</v>
      </c>
      <c r="J658">
        <v>5</v>
      </c>
      <c r="K658" t="s">
        <v>53</v>
      </c>
      <c r="L658" t="s">
        <v>62</v>
      </c>
      <c r="M658" t="s">
        <v>73</v>
      </c>
      <c r="N658" t="s">
        <v>77</v>
      </c>
      <c r="O658">
        <v>64</v>
      </c>
      <c r="P658" t="s">
        <v>79</v>
      </c>
      <c r="Q658" t="s">
        <v>85</v>
      </c>
      <c r="R658" t="s">
        <v>91</v>
      </c>
      <c r="S658" t="s">
        <v>105</v>
      </c>
      <c r="T658" t="s">
        <v>114</v>
      </c>
    </row>
    <row r="659" spans="1:20">
      <c r="A659" t="s">
        <v>25</v>
      </c>
      <c r="B659" t="s">
        <v>32</v>
      </c>
      <c r="C659" t="s">
        <v>38</v>
      </c>
      <c r="E659" s="2">
        <v>46034.22366898148</v>
      </c>
      <c r="F659" s="2">
        <v>46034.24008101852</v>
      </c>
      <c r="G659" t="s">
        <v>50</v>
      </c>
      <c r="H659" t="s">
        <v>51</v>
      </c>
      <c r="I659">
        <v>5</v>
      </c>
      <c r="J659">
        <v>5</v>
      </c>
      <c r="K659" t="s">
        <v>53</v>
      </c>
      <c r="L659" t="s">
        <v>62</v>
      </c>
      <c r="M659" t="s">
        <v>71</v>
      </c>
      <c r="N659" t="s">
        <v>74</v>
      </c>
      <c r="O659">
        <v>1418</v>
      </c>
      <c r="P659" t="s">
        <v>79</v>
      </c>
      <c r="Q659" t="s">
        <v>85</v>
      </c>
      <c r="R659" t="s">
        <v>91</v>
      </c>
      <c r="S659" t="s">
        <v>105</v>
      </c>
      <c r="T659" t="s">
        <v>114</v>
      </c>
    </row>
    <row r="660" spans="1:20">
      <c r="A660" t="s">
        <v>20</v>
      </c>
      <c r="B660" t="s">
        <v>27</v>
      </c>
      <c r="C660" t="s">
        <v>38</v>
      </c>
      <c r="E660" s="2">
        <v>46034.2253125</v>
      </c>
      <c r="F660" s="2">
        <v>46034.22721064815</v>
      </c>
      <c r="G660" t="s">
        <v>50</v>
      </c>
      <c r="H660" t="s">
        <v>51</v>
      </c>
      <c r="I660">
        <v>5</v>
      </c>
      <c r="J660">
        <v>5</v>
      </c>
      <c r="K660" t="s">
        <v>52</v>
      </c>
      <c r="L660" t="s">
        <v>66</v>
      </c>
      <c r="O660">
        <v>164</v>
      </c>
      <c r="P660" t="s">
        <v>79</v>
      </c>
      <c r="Q660" t="s">
        <v>85</v>
      </c>
      <c r="R660" t="s">
        <v>91</v>
      </c>
      <c r="S660" t="s">
        <v>105</v>
      </c>
      <c r="T660" t="s">
        <v>114</v>
      </c>
    </row>
    <row r="661" spans="1:20">
      <c r="A661" t="s">
        <v>20</v>
      </c>
      <c r="B661" t="s">
        <v>27</v>
      </c>
      <c r="C661" t="s">
        <v>39</v>
      </c>
      <c r="E661" s="2">
        <v>46034.22721064815</v>
      </c>
      <c r="F661" s="2">
        <v>46034.22820601852</v>
      </c>
      <c r="G661" t="s">
        <v>50</v>
      </c>
      <c r="H661" t="s">
        <v>51</v>
      </c>
      <c r="I661">
        <v>5</v>
      </c>
      <c r="J661">
        <v>5</v>
      </c>
      <c r="K661" t="s">
        <v>52</v>
      </c>
      <c r="L661" t="s">
        <v>66</v>
      </c>
      <c r="O661">
        <v>86</v>
      </c>
      <c r="P661" t="s">
        <v>81</v>
      </c>
      <c r="Q661" t="s">
        <v>85</v>
      </c>
      <c r="R661" t="s">
        <v>93</v>
      </c>
      <c r="S661" t="s">
        <v>107</v>
      </c>
      <c r="T661" t="s">
        <v>114</v>
      </c>
    </row>
    <row r="662" spans="1:20">
      <c r="A662" t="s">
        <v>20</v>
      </c>
      <c r="B662" t="s">
        <v>27</v>
      </c>
      <c r="C662" t="s">
        <v>38</v>
      </c>
      <c r="E662" s="2">
        <v>46034.22820601852</v>
      </c>
      <c r="F662" s="2">
        <v>46034.22900462963</v>
      </c>
      <c r="G662" t="s">
        <v>50</v>
      </c>
      <c r="H662" t="s">
        <v>51</v>
      </c>
      <c r="I662">
        <v>5</v>
      </c>
      <c r="J662">
        <v>5</v>
      </c>
      <c r="K662" t="s">
        <v>52</v>
      </c>
      <c r="L662" t="s">
        <v>66</v>
      </c>
      <c r="O662">
        <v>69</v>
      </c>
      <c r="P662" t="s">
        <v>79</v>
      </c>
      <c r="Q662" t="s">
        <v>85</v>
      </c>
      <c r="R662" t="s">
        <v>91</v>
      </c>
      <c r="S662" t="s">
        <v>105</v>
      </c>
      <c r="T662" t="s">
        <v>114</v>
      </c>
    </row>
    <row r="663" spans="1:20">
      <c r="A663" t="s">
        <v>20</v>
      </c>
      <c r="B663" t="s">
        <v>27</v>
      </c>
      <c r="C663" t="s">
        <v>36</v>
      </c>
      <c r="E663" s="2">
        <v>46034.22900462963</v>
      </c>
      <c r="F663" s="2">
        <v>46034.24023148148</v>
      </c>
      <c r="G663" t="s">
        <v>50</v>
      </c>
      <c r="H663" t="s">
        <v>51</v>
      </c>
      <c r="I663">
        <v>5</v>
      </c>
      <c r="J663">
        <v>5</v>
      </c>
      <c r="K663" t="s">
        <v>52</v>
      </c>
      <c r="L663" t="s">
        <v>66</v>
      </c>
      <c r="O663">
        <v>970</v>
      </c>
      <c r="P663" t="s">
        <v>79</v>
      </c>
      <c r="Q663" t="s">
        <v>85</v>
      </c>
      <c r="R663" t="s">
        <v>91</v>
      </c>
      <c r="S663" t="s">
        <v>105</v>
      </c>
      <c r="T663" t="s">
        <v>114</v>
      </c>
    </row>
    <row r="664" spans="1:20">
      <c r="A664" t="s">
        <v>26</v>
      </c>
      <c r="B664" t="s">
        <v>33</v>
      </c>
      <c r="C664" t="s">
        <v>37</v>
      </c>
      <c r="E664" s="2">
        <v>46034.23731481482</v>
      </c>
      <c r="F664" s="2">
        <v>46034.23761574074</v>
      </c>
      <c r="G664" t="s">
        <v>50</v>
      </c>
      <c r="H664" t="s">
        <v>51</v>
      </c>
      <c r="I664">
        <v>5</v>
      </c>
      <c r="J664">
        <v>5</v>
      </c>
      <c r="L664" t="s">
        <v>63</v>
      </c>
      <c r="M664" t="s">
        <v>73</v>
      </c>
      <c r="N664" t="s">
        <v>75</v>
      </c>
      <c r="O664">
        <v>26</v>
      </c>
      <c r="P664" t="s">
        <v>80</v>
      </c>
      <c r="Q664" t="s">
        <v>84</v>
      </c>
      <c r="R664" t="s">
        <v>92</v>
      </c>
      <c r="S664" t="s">
        <v>106</v>
      </c>
      <c r="T664" t="s">
        <v>115</v>
      </c>
    </row>
    <row r="665" spans="1:20">
      <c r="A665" t="s">
        <v>26</v>
      </c>
      <c r="B665" t="s">
        <v>33</v>
      </c>
      <c r="C665" t="s">
        <v>37</v>
      </c>
      <c r="E665" s="2">
        <v>46034.23761574074</v>
      </c>
      <c r="F665" s="2">
        <v>46034.24028935185</v>
      </c>
      <c r="G665" t="s">
        <v>50</v>
      </c>
      <c r="H665" t="s">
        <v>51</v>
      </c>
      <c r="I665">
        <v>5</v>
      </c>
      <c r="J665">
        <v>5</v>
      </c>
      <c r="L665" t="s">
        <v>63</v>
      </c>
      <c r="M665" t="s">
        <v>71</v>
      </c>
      <c r="N665" t="s">
        <v>74</v>
      </c>
      <c r="O665">
        <v>231</v>
      </c>
      <c r="P665" t="s">
        <v>80</v>
      </c>
      <c r="Q665" t="s">
        <v>84</v>
      </c>
      <c r="R665" t="s">
        <v>92</v>
      </c>
      <c r="S665" t="s">
        <v>106</v>
      </c>
      <c r="T665" t="s">
        <v>115</v>
      </c>
    </row>
    <row r="666" spans="1:20">
      <c r="A666" t="s">
        <v>23</v>
      </c>
      <c r="B666" t="s">
        <v>30</v>
      </c>
      <c r="C666" t="s">
        <v>38</v>
      </c>
      <c r="E666" s="2">
        <v>46034.23875</v>
      </c>
      <c r="F666" s="2">
        <v>46034.24013888889</v>
      </c>
      <c r="G666" t="s">
        <v>50</v>
      </c>
      <c r="H666" t="s">
        <v>51</v>
      </c>
      <c r="I666">
        <v>5</v>
      </c>
      <c r="J666">
        <v>5</v>
      </c>
      <c r="K666" t="s">
        <v>55</v>
      </c>
      <c r="L666" t="s">
        <v>65</v>
      </c>
      <c r="M666" t="s">
        <v>69</v>
      </c>
      <c r="N666" t="s">
        <v>74</v>
      </c>
      <c r="O666">
        <v>120</v>
      </c>
      <c r="P666" t="s">
        <v>79</v>
      </c>
      <c r="Q666" t="s">
        <v>85</v>
      </c>
      <c r="R666" t="s">
        <v>91</v>
      </c>
      <c r="S666" t="s">
        <v>105</v>
      </c>
      <c r="T666" t="s">
        <v>114</v>
      </c>
    </row>
    <row r="667" spans="1:20">
      <c r="A667" t="s">
        <v>25</v>
      </c>
      <c r="B667" t="s">
        <v>32</v>
      </c>
      <c r="C667" t="s">
        <v>37</v>
      </c>
      <c r="E667" s="2">
        <v>46034.24008101852</v>
      </c>
      <c r="F667" s="2">
        <v>46034.24010416667</v>
      </c>
      <c r="G667" t="s">
        <v>50</v>
      </c>
      <c r="H667" t="s">
        <v>51</v>
      </c>
      <c r="I667">
        <v>5</v>
      </c>
      <c r="J667">
        <v>5</v>
      </c>
      <c r="K667" t="s">
        <v>53</v>
      </c>
      <c r="L667" t="s">
        <v>62</v>
      </c>
      <c r="M667" t="s">
        <v>71</v>
      </c>
      <c r="N667" t="s">
        <v>74</v>
      </c>
      <c r="O667">
        <v>2</v>
      </c>
      <c r="P667" t="s">
        <v>80</v>
      </c>
      <c r="Q667" t="s">
        <v>84</v>
      </c>
      <c r="R667" t="s">
        <v>92</v>
      </c>
      <c r="S667" t="s">
        <v>106</v>
      </c>
      <c r="T667" t="s">
        <v>115</v>
      </c>
    </row>
    <row r="668" spans="1:20">
      <c r="A668" t="s">
        <v>25</v>
      </c>
      <c r="B668" t="s">
        <v>32</v>
      </c>
      <c r="C668" t="s">
        <v>37</v>
      </c>
      <c r="E668" s="2">
        <v>46034.24010416667</v>
      </c>
      <c r="F668" s="2">
        <v>46034.24046296296</v>
      </c>
      <c r="G668" t="s">
        <v>50</v>
      </c>
      <c r="H668" t="s">
        <v>51</v>
      </c>
      <c r="I668">
        <v>5</v>
      </c>
      <c r="J668">
        <v>5</v>
      </c>
      <c r="K668" t="s">
        <v>53</v>
      </c>
      <c r="L668" t="s">
        <v>62</v>
      </c>
      <c r="M668" t="s">
        <v>73</v>
      </c>
      <c r="N668" t="s">
        <v>75</v>
      </c>
      <c r="O668">
        <v>31</v>
      </c>
      <c r="P668" t="s">
        <v>80</v>
      </c>
      <c r="Q668" t="s">
        <v>84</v>
      </c>
      <c r="R668" t="s">
        <v>92</v>
      </c>
      <c r="S668" t="s">
        <v>106</v>
      </c>
      <c r="T668" t="s">
        <v>115</v>
      </c>
    </row>
    <row r="669" spans="1:20">
      <c r="A669" t="s">
        <v>23</v>
      </c>
      <c r="B669" t="s">
        <v>30</v>
      </c>
      <c r="C669" t="s">
        <v>37</v>
      </c>
      <c r="E669" s="2">
        <v>46034.24013888889</v>
      </c>
      <c r="F669" s="2">
        <v>46034.24016203704</v>
      </c>
      <c r="G669" t="s">
        <v>50</v>
      </c>
      <c r="H669" t="s">
        <v>51</v>
      </c>
      <c r="I669">
        <v>5</v>
      </c>
      <c r="J669">
        <v>5</v>
      </c>
      <c r="K669" t="s">
        <v>55</v>
      </c>
      <c r="L669" t="s">
        <v>65</v>
      </c>
      <c r="M669" t="s">
        <v>69</v>
      </c>
      <c r="N669" t="s">
        <v>74</v>
      </c>
      <c r="O669">
        <v>2</v>
      </c>
      <c r="P669" t="s">
        <v>81</v>
      </c>
      <c r="Q669" t="s">
        <v>85</v>
      </c>
      <c r="R669" t="s">
        <v>93</v>
      </c>
      <c r="S669" t="s">
        <v>107</v>
      </c>
      <c r="T669" t="s">
        <v>114</v>
      </c>
    </row>
    <row r="670" spans="1:20">
      <c r="A670" t="s">
        <v>23</v>
      </c>
      <c r="B670" t="s">
        <v>30</v>
      </c>
      <c r="C670" t="s">
        <v>37</v>
      </c>
      <c r="E670" s="2">
        <v>46034.24016203704</v>
      </c>
      <c r="F670" s="2">
        <v>46034.24034722222</v>
      </c>
      <c r="G670" t="s">
        <v>50</v>
      </c>
      <c r="H670" t="s">
        <v>51</v>
      </c>
      <c r="I670">
        <v>5</v>
      </c>
      <c r="J670">
        <v>5</v>
      </c>
      <c r="K670" t="s">
        <v>55</v>
      </c>
      <c r="L670" t="s">
        <v>65</v>
      </c>
      <c r="M670" t="s">
        <v>69</v>
      </c>
      <c r="N670" t="s">
        <v>75</v>
      </c>
      <c r="O670">
        <v>16</v>
      </c>
      <c r="P670" t="s">
        <v>81</v>
      </c>
      <c r="Q670" t="s">
        <v>85</v>
      </c>
      <c r="R670" t="s">
        <v>93</v>
      </c>
      <c r="S670" t="s">
        <v>107</v>
      </c>
      <c r="T670" t="s">
        <v>114</v>
      </c>
    </row>
    <row r="671" spans="1:20">
      <c r="A671" t="s">
        <v>20</v>
      </c>
      <c r="B671" t="s">
        <v>27</v>
      </c>
      <c r="C671" t="s">
        <v>38</v>
      </c>
      <c r="E671" s="2">
        <v>46034.24023148148</v>
      </c>
      <c r="F671" s="2">
        <v>46034.24217592592</v>
      </c>
      <c r="G671" t="s">
        <v>50</v>
      </c>
      <c r="H671" t="s">
        <v>51</v>
      </c>
      <c r="I671">
        <v>5</v>
      </c>
      <c r="J671">
        <v>5</v>
      </c>
      <c r="K671" t="s">
        <v>52</v>
      </c>
      <c r="L671" t="s">
        <v>66</v>
      </c>
      <c r="O671">
        <v>168</v>
      </c>
      <c r="P671" t="s">
        <v>79</v>
      </c>
      <c r="Q671" t="s">
        <v>85</v>
      </c>
      <c r="R671" t="s">
        <v>91</v>
      </c>
      <c r="S671" t="s">
        <v>105</v>
      </c>
      <c r="T671" t="s">
        <v>114</v>
      </c>
    </row>
    <row r="672" spans="1:20">
      <c r="A672" t="s">
        <v>26</v>
      </c>
      <c r="B672" t="s">
        <v>33</v>
      </c>
      <c r="C672" t="s">
        <v>39</v>
      </c>
      <c r="E672" s="2">
        <v>46034.24028935185</v>
      </c>
      <c r="F672" s="2">
        <v>46034.24271990741</v>
      </c>
      <c r="G672" t="s">
        <v>50</v>
      </c>
      <c r="H672" t="s">
        <v>51</v>
      </c>
      <c r="I672">
        <v>5</v>
      </c>
      <c r="J672">
        <v>5</v>
      </c>
      <c r="L672" t="s">
        <v>63</v>
      </c>
      <c r="M672" t="s">
        <v>71</v>
      </c>
      <c r="N672" t="s">
        <v>74</v>
      </c>
      <c r="O672">
        <v>210</v>
      </c>
      <c r="P672" t="s">
        <v>81</v>
      </c>
      <c r="Q672" t="s">
        <v>85</v>
      </c>
      <c r="R672" t="s">
        <v>93</v>
      </c>
      <c r="S672" t="s">
        <v>107</v>
      </c>
      <c r="T672" t="s">
        <v>114</v>
      </c>
    </row>
    <row r="673" spans="1:20">
      <c r="A673" t="s">
        <v>23</v>
      </c>
      <c r="B673" t="s">
        <v>30</v>
      </c>
      <c r="C673" t="s">
        <v>37</v>
      </c>
      <c r="E673" s="2">
        <v>46034.24034722222</v>
      </c>
      <c r="F673" s="2">
        <v>46034.24040509259</v>
      </c>
      <c r="G673" t="s">
        <v>50</v>
      </c>
      <c r="H673" t="s">
        <v>51</v>
      </c>
      <c r="I673">
        <v>5</v>
      </c>
      <c r="J673">
        <v>5</v>
      </c>
      <c r="K673" t="s">
        <v>55</v>
      </c>
      <c r="L673" t="s">
        <v>65</v>
      </c>
      <c r="M673" t="s">
        <v>69</v>
      </c>
      <c r="N673" t="s">
        <v>74</v>
      </c>
      <c r="O673">
        <v>5</v>
      </c>
      <c r="P673" t="s">
        <v>81</v>
      </c>
      <c r="Q673" t="s">
        <v>85</v>
      </c>
      <c r="R673" t="s">
        <v>93</v>
      </c>
      <c r="S673" t="s">
        <v>107</v>
      </c>
      <c r="T673" t="s">
        <v>114</v>
      </c>
    </row>
    <row r="674" spans="1:20">
      <c r="A674" t="s">
        <v>23</v>
      </c>
      <c r="B674" t="s">
        <v>30</v>
      </c>
      <c r="C674" t="s">
        <v>39</v>
      </c>
      <c r="E674" s="2">
        <v>46034.24040509259</v>
      </c>
      <c r="F674" s="2">
        <v>46034.24142361111</v>
      </c>
      <c r="G674" t="s">
        <v>50</v>
      </c>
      <c r="H674" t="s">
        <v>51</v>
      </c>
      <c r="I674">
        <v>5</v>
      </c>
      <c r="J674">
        <v>5</v>
      </c>
      <c r="K674" t="s">
        <v>55</v>
      </c>
      <c r="L674" t="s">
        <v>65</v>
      </c>
      <c r="M674" t="s">
        <v>69</v>
      </c>
      <c r="N674" t="s">
        <v>74</v>
      </c>
      <c r="O674">
        <v>88</v>
      </c>
      <c r="P674" t="s">
        <v>81</v>
      </c>
      <c r="Q674" t="s">
        <v>85</v>
      </c>
      <c r="R674" t="s">
        <v>93</v>
      </c>
      <c r="S674" t="s">
        <v>107</v>
      </c>
      <c r="T674" t="s">
        <v>114</v>
      </c>
    </row>
    <row r="675" spans="1:20">
      <c r="A675" t="s">
        <v>25</v>
      </c>
      <c r="B675" t="s">
        <v>32</v>
      </c>
      <c r="C675" t="s">
        <v>37</v>
      </c>
      <c r="E675" s="2">
        <v>46034.24046296296</v>
      </c>
      <c r="F675" s="2">
        <v>46034.24284722222</v>
      </c>
      <c r="G675" t="s">
        <v>50</v>
      </c>
      <c r="H675" t="s">
        <v>51</v>
      </c>
      <c r="I675">
        <v>5</v>
      </c>
      <c r="J675">
        <v>5</v>
      </c>
      <c r="K675" t="s">
        <v>53</v>
      </c>
      <c r="L675" t="s">
        <v>62</v>
      </c>
      <c r="M675" t="s">
        <v>71</v>
      </c>
      <c r="N675" t="s">
        <v>74</v>
      </c>
      <c r="O675">
        <v>206</v>
      </c>
      <c r="P675" t="s">
        <v>80</v>
      </c>
      <c r="Q675" t="s">
        <v>84</v>
      </c>
      <c r="R675" t="s">
        <v>92</v>
      </c>
      <c r="S675" t="s">
        <v>106</v>
      </c>
      <c r="T675" t="s">
        <v>115</v>
      </c>
    </row>
    <row r="676" spans="1:20">
      <c r="A676" t="s">
        <v>22</v>
      </c>
      <c r="B676" t="s">
        <v>29</v>
      </c>
      <c r="C676" t="s">
        <v>34</v>
      </c>
      <c r="E676" s="2">
        <v>46034.24064814814</v>
      </c>
      <c r="F676" s="2">
        <v>46034.24091435185</v>
      </c>
      <c r="G676" t="s">
        <v>50</v>
      </c>
      <c r="H676" t="s">
        <v>51</v>
      </c>
      <c r="I676">
        <v>5</v>
      </c>
      <c r="J676">
        <v>5</v>
      </c>
      <c r="K676" t="s">
        <v>54</v>
      </c>
      <c r="L676" t="s">
        <v>64</v>
      </c>
      <c r="M676" t="s">
        <v>69</v>
      </c>
      <c r="N676" t="s">
        <v>74</v>
      </c>
      <c r="O676">
        <v>23</v>
      </c>
      <c r="P676" t="s">
        <v>78</v>
      </c>
      <c r="Q676" t="s">
        <v>82</v>
      </c>
      <c r="R676" t="s">
        <v>86</v>
      </c>
      <c r="S676" t="s">
        <v>100</v>
      </c>
      <c r="T676" t="s">
        <v>114</v>
      </c>
    </row>
    <row r="677" spans="1:20">
      <c r="A677" t="s">
        <v>21</v>
      </c>
      <c r="B677" t="s">
        <v>28</v>
      </c>
      <c r="C677" t="s">
        <v>38</v>
      </c>
      <c r="E677" s="2">
        <v>46034.24083333334</v>
      </c>
      <c r="F677" s="2">
        <v>46034.24142361111</v>
      </c>
      <c r="G677" t="s">
        <v>50</v>
      </c>
      <c r="H677" t="s">
        <v>51</v>
      </c>
      <c r="I677">
        <v>5</v>
      </c>
      <c r="J677">
        <v>5</v>
      </c>
      <c r="K677" t="s">
        <v>54</v>
      </c>
      <c r="L677" t="s">
        <v>68</v>
      </c>
      <c r="M677" t="s">
        <v>69</v>
      </c>
      <c r="N677" t="s">
        <v>74</v>
      </c>
      <c r="O677">
        <v>51</v>
      </c>
      <c r="P677" t="s">
        <v>79</v>
      </c>
      <c r="Q677" t="s">
        <v>85</v>
      </c>
      <c r="R677" t="s">
        <v>91</v>
      </c>
      <c r="S677" t="s">
        <v>105</v>
      </c>
      <c r="T677" t="s">
        <v>114</v>
      </c>
    </row>
    <row r="678" spans="1:20">
      <c r="A678" t="s">
        <v>22</v>
      </c>
      <c r="B678" t="s">
        <v>29</v>
      </c>
      <c r="C678" t="s">
        <v>35</v>
      </c>
      <c r="D678" t="s">
        <v>48</v>
      </c>
      <c r="E678" s="2">
        <v>46034.24091435185</v>
      </c>
      <c r="F678" s="2">
        <v>46034.25</v>
      </c>
      <c r="G678" t="s">
        <v>50</v>
      </c>
      <c r="H678" t="s">
        <v>51</v>
      </c>
      <c r="I678">
        <v>5</v>
      </c>
      <c r="J678">
        <v>5</v>
      </c>
      <c r="K678" t="s">
        <v>54</v>
      </c>
      <c r="L678" t="s">
        <v>64</v>
      </c>
      <c r="M678" t="s">
        <v>69</v>
      </c>
      <c r="N678" t="s">
        <v>74</v>
      </c>
      <c r="O678">
        <v>785</v>
      </c>
      <c r="P678" t="s">
        <v>48</v>
      </c>
      <c r="R678" t="s">
        <v>98</v>
      </c>
      <c r="S678" t="s">
        <v>112</v>
      </c>
      <c r="T678" t="s">
        <v>114</v>
      </c>
    </row>
    <row r="679" spans="1:20">
      <c r="A679" t="s">
        <v>21</v>
      </c>
      <c r="B679" t="s">
        <v>28</v>
      </c>
      <c r="C679" t="s">
        <v>37</v>
      </c>
      <c r="E679" s="2">
        <v>46034.24142361111</v>
      </c>
      <c r="F679" s="2">
        <v>46034.24165509259</v>
      </c>
      <c r="G679" t="s">
        <v>50</v>
      </c>
      <c r="H679" t="s">
        <v>51</v>
      </c>
      <c r="I679">
        <v>5</v>
      </c>
      <c r="J679">
        <v>5</v>
      </c>
      <c r="K679" t="s">
        <v>54</v>
      </c>
      <c r="L679" t="s">
        <v>68</v>
      </c>
      <c r="M679" t="s">
        <v>69</v>
      </c>
      <c r="N679" t="s">
        <v>74</v>
      </c>
      <c r="O679">
        <v>20</v>
      </c>
      <c r="P679" t="s">
        <v>80</v>
      </c>
      <c r="Q679" t="s">
        <v>84</v>
      </c>
      <c r="R679" t="s">
        <v>92</v>
      </c>
      <c r="S679" t="s">
        <v>106</v>
      </c>
      <c r="T679" t="s">
        <v>115</v>
      </c>
    </row>
    <row r="680" spans="1:20">
      <c r="A680" t="s">
        <v>23</v>
      </c>
      <c r="B680" t="s">
        <v>30</v>
      </c>
      <c r="C680" t="s">
        <v>37</v>
      </c>
      <c r="E680" s="2">
        <v>46034.24142361111</v>
      </c>
      <c r="F680" s="2">
        <v>46034.24150462963</v>
      </c>
      <c r="G680" t="s">
        <v>50</v>
      </c>
      <c r="H680" t="s">
        <v>51</v>
      </c>
      <c r="I680">
        <v>5</v>
      </c>
      <c r="J680">
        <v>5</v>
      </c>
      <c r="K680" t="s">
        <v>55</v>
      </c>
      <c r="L680" t="s">
        <v>65</v>
      </c>
      <c r="M680" t="s">
        <v>69</v>
      </c>
      <c r="N680" t="s">
        <v>74</v>
      </c>
      <c r="O680">
        <v>7</v>
      </c>
      <c r="P680" t="s">
        <v>81</v>
      </c>
      <c r="Q680" t="s">
        <v>85</v>
      </c>
      <c r="R680" t="s">
        <v>93</v>
      </c>
      <c r="S680" t="s">
        <v>107</v>
      </c>
      <c r="T680" t="s">
        <v>114</v>
      </c>
    </row>
    <row r="681" spans="1:20">
      <c r="A681" t="s">
        <v>23</v>
      </c>
      <c r="B681" t="s">
        <v>30</v>
      </c>
      <c r="C681" t="s">
        <v>37</v>
      </c>
      <c r="E681" s="2">
        <v>46034.24150462963</v>
      </c>
      <c r="F681" s="2">
        <v>46034.24188657408</v>
      </c>
      <c r="G681" t="s">
        <v>50</v>
      </c>
      <c r="H681" t="s">
        <v>51</v>
      </c>
      <c r="I681">
        <v>5</v>
      </c>
      <c r="J681">
        <v>5</v>
      </c>
      <c r="K681" t="s">
        <v>55</v>
      </c>
      <c r="L681" t="s">
        <v>65</v>
      </c>
      <c r="M681" t="s">
        <v>69</v>
      </c>
      <c r="N681" t="s">
        <v>76</v>
      </c>
      <c r="O681">
        <v>33</v>
      </c>
      <c r="P681" t="s">
        <v>81</v>
      </c>
      <c r="Q681" t="s">
        <v>85</v>
      </c>
      <c r="R681" t="s">
        <v>93</v>
      </c>
      <c r="S681" t="s">
        <v>107</v>
      </c>
      <c r="T681" t="s">
        <v>114</v>
      </c>
    </row>
    <row r="682" spans="1:20">
      <c r="A682" t="s">
        <v>21</v>
      </c>
      <c r="B682" t="s">
        <v>28</v>
      </c>
      <c r="C682" t="s">
        <v>37</v>
      </c>
      <c r="E682" s="2">
        <v>46034.24165509259</v>
      </c>
      <c r="F682" s="2">
        <v>46034.2419212963</v>
      </c>
      <c r="G682" t="s">
        <v>50</v>
      </c>
      <c r="H682" t="s">
        <v>51</v>
      </c>
      <c r="I682">
        <v>5</v>
      </c>
      <c r="J682">
        <v>5</v>
      </c>
      <c r="K682" t="s">
        <v>54</v>
      </c>
      <c r="L682" t="s">
        <v>68</v>
      </c>
      <c r="M682" t="s">
        <v>69</v>
      </c>
      <c r="N682" t="s">
        <v>75</v>
      </c>
      <c r="O682">
        <v>23</v>
      </c>
      <c r="P682" t="s">
        <v>80</v>
      </c>
      <c r="Q682" t="s">
        <v>84</v>
      </c>
      <c r="R682" t="s">
        <v>92</v>
      </c>
      <c r="S682" t="s">
        <v>106</v>
      </c>
      <c r="T682" t="s">
        <v>115</v>
      </c>
    </row>
    <row r="683" spans="1:20">
      <c r="A683" t="s">
        <v>23</v>
      </c>
      <c r="B683" t="s">
        <v>30</v>
      </c>
      <c r="C683" t="s">
        <v>37</v>
      </c>
      <c r="E683" s="2">
        <v>46034.24188657408</v>
      </c>
      <c r="F683" s="2">
        <v>46034.24190972222</v>
      </c>
      <c r="G683" t="s">
        <v>50</v>
      </c>
      <c r="H683" t="s">
        <v>51</v>
      </c>
      <c r="I683">
        <v>5</v>
      </c>
      <c r="J683">
        <v>5</v>
      </c>
      <c r="K683" t="s">
        <v>55</v>
      </c>
      <c r="L683" t="s">
        <v>65</v>
      </c>
      <c r="M683" t="s">
        <v>69</v>
      </c>
      <c r="N683" t="s">
        <v>74</v>
      </c>
      <c r="O683">
        <v>2</v>
      </c>
      <c r="P683" t="s">
        <v>81</v>
      </c>
      <c r="Q683" t="s">
        <v>85</v>
      </c>
      <c r="R683" t="s">
        <v>93</v>
      </c>
      <c r="S683" t="s">
        <v>107</v>
      </c>
      <c r="T683" t="s">
        <v>114</v>
      </c>
    </row>
    <row r="684" spans="1:20">
      <c r="A684" t="s">
        <v>23</v>
      </c>
      <c r="B684" t="s">
        <v>30</v>
      </c>
      <c r="C684" t="s">
        <v>38</v>
      </c>
      <c r="E684" s="2">
        <v>46034.24190972222</v>
      </c>
      <c r="F684" s="2">
        <v>46034.24209490741</v>
      </c>
      <c r="G684" t="s">
        <v>50</v>
      </c>
      <c r="H684" t="s">
        <v>51</v>
      </c>
      <c r="I684">
        <v>5</v>
      </c>
      <c r="J684">
        <v>5</v>
      </c>
      <c r="K684" t="s">
        <v>55</v>
      </c>
      <c r="L684" t="s">
        <v>65</v>
      </c>
      <c r="M684" t="s">
        <v>69</v>
      </c>
      <c r="N684" t="s">
        <v>74</v>
      </c>
      <c r="O684">
        <v>16</v>
      </c>
      <c r="P684" t="s">
        <v>79</v>
      </c>
      <c r="Q684" t="s">
        <v>85</v>
      </c>
      <c r="R684" t="s">
        <v>91</v>
      </c>
      <c r="S684" t="s">
        <v>105</v>
      </c>
      <c r="T684" t="s">
        <v>114</v>
      </c>
    </row>
    <row r="685" spans="1:20">
      <c r="A685" t="s">
        <v>21</v>
      </c>
      <c r="B685" t="s">
        <v>28</v>
      </c>
      <c r="C685" t="s">
        <v>37</v>
      </c>
      <c r="E685" s="2">
        <v>46034.2419212963</v>
      </c>
      <c r="F685" s="2">
        <v>46034.24672453704</v>
      </c>
      <c r="G685" t="s">
        <v>50</v>
      </c>
      <c r="H685" t="s">
        <v>51</v>
      </c>
      <c r="I685">
        <v>5</v>
      </c>
      <c r="J685">
        <v>5</v>
      </c>
      <c r="K685" t="s">
        <v>54</v>
      </c>
      <c r="L685" t="s">
        <v>68</v>
      </c>
      <c r="M685" t="s">
        <v>69</v>
      </c>
      <c r="N685" t="s">
        <v>74</v>
      </c>
      <c r="O685">
        <v>415</v>
      </c>
      <c r="P685" t="s">
        <v>80</v>
      </c>
      <c r="Q685" t="s">
        <v>84</v>
      </c>
      <c r="R685" t="s">
        <v>92</v>
      </c>
      <c r="S685" t="s">
        <v>106</v>
      </c>
      <c r="T685" t="s">
        <v>115</v>
      </c>
    </row>
    <row r="686" spans="1:20">
      <c r="A686" t="s">
        <v>23</v>
      </c>
      <c r="B686" t="s">
        <v>30</v>
      </c>
      <c r="C686" t="s">
        <v>36</v>
      </c>
      <c r="E686" s="2">
        <v>46034.24209490741</v>
      </c>
      <c r="F686" s="2">
        <v>46034.25</v>
      </c>
      <c r="G686" t="s">
        <v>50</v>
      </c>
      <c r="H686" t="s">
        <v>51</v>
      </c>
      <c r="I686">
        <v>5</v>
      </c>
      <c r="J686">
        <v>5</v>
      </c>
      <c r="K686" t="s">
        <v>55</v>
      </c>
      <c r="L686" t="s">
        <v>65</v>
      </c>
      <c r="M686" t="s">
        <v>69</v>
      </c>
      <c r="N686" t="s">
        <v>74</v>
      </c>
      <c r="O686">
        <v>683</v>
      </c>
      <c r="P686" t="s">
        <v>79</v>
      </c>
      <c r="Q686" t="s">
        <v>85</v>
      </c>
      <c r="R686" t="s">
        <v>91</v>
      </c>
      <c r="S686" t="s">
        <v>105</v>
      </c>
      <c r="T686" t="s">
        <v>114</v>
      </c>
    </row>
    <row r="687" spans="1:20">
      <c r="A687" t="s">
        <v>20</v>
      </c>
      <c r="B687" t="s">
        <v>27</v>
      </c>
      <c r="C687" t="s">
        <v>39</v>
      </c>
      <c r="E687" s="2">
        <v>46034.24217592592</v>
      </c>
      <c r="F687" s="2">
        <v>46034.24331018519</v>
      </c>
      <c r="G687" t="s">
        <v>50</v>
      </c>
      <c r="H687" t="s">
        <v>51</v>
      </c>
      <c r="I687">
        <v>5</v>
      </c>
      <c r="J687">
        <v>5</v>
      </c>
      <c r="K687" t="s">
        <v>52</v>
      </c>
      <c r="L687" t="s">
        <v>66</v>
      </c>
      <c r="O687">
        <v>98</v>
      </c>
      <c r="P687" t="s">
        <v>81</v>
      </c>
      <c r="Q687" t="s">
        <v>85</v>
      </c>
      <c r="R687" t="s">
        <v>93</v>
      </c>
      <c r="S687" t="s">
        <v>107</v>
      </c>
      <c r="T687" t="s">
        <v>114</v>
      </c>
    </row>
    <row r="688" spans="1:20">
      <c r="A688" t="s">
        <v>26</v>
      </c>
      <c r="B688" t="s">
        <v>33</v>
      </c>
      <c r="C688" t="s">
        <v>37</v>
      </c>
      <c r="E688" s="2">
        <v>46034.24271990741</v>
      </c>
      <c r="F688" s="2">
        <v>46034.24273148148</v>
      </c>
      <c r="G688" t="s">
        <v>50</v>
      </c>
      <c r="H688" t="s">
        <v>51</v>
      </c>
      <c r="I688">
        <v>5</v>
      </c>
      <c r="J688">
        <v>5</v>
      </c>
      <c r="L688" t="s">
        <v>63</v>
      </c>
      <c r="M688" t="s">
        <v>71</v>
      </c>
      <c r="N688" t="s">
        <v>74</v>
      </c>
      <c r="O688">
        <v>1</v>
      </c>
      <c r="P688" t="s">
        <v>81</v>
      </c>
      <c r="Q688" t="s">
        <v>85</v>
      </c>
      <c r="R688" t="s">
        <v>93</v>
      </c>
      <c r="S688" t="s">
        <v>107</v>
      </c>
      <c r="T688" t="s">
        <v>114</v>
      </c>
    </row>
    <row r="689" spans="1:20">
      <c r="A689" t="s">
        <v>26</v>
      </c>
      <c r="B689" t="s">
        <v>33</v>
      </c>
      <c r="C689" t="s">
        <v>37</v>
      </c>
      <c r="E689" s="2">
        <v>46034.24273148148</v>
      </c>
      <c r="F689" s="2">
        <v>46034.24337962963</v>
      </c>
      <c r="G689" t="s">
        <v>50</v>
      </c>
      <c r="H689" t="s">
        <v>51</v>
      </c>
      <c r="I689">
        <v>5</v>
      </c>
      <c r="J689">
        <v>5</v>
      </c>
      <c r="L689" t="s">
        <v>63</v>
      </c>
      <c r="M689" t="s">
        <v>73</v>
      </c>
      <c r="N689" t="s">
        <v>76</v>
      </c>
      <c r="O689">
        <v>56</v>
      </c>
      <c r="P689" t="s">
        <v>81</v>
      </c>
      <c r="Q689" t="s">
        <v>85</v>
      </c>
      <c r="R689" t="s">
        <v>93</v>
      </c>
      <c r="S689" t="s">
        <v>107</v>
      </c>
      <c r="T689" t="s">
        <v>114</v>
      </c>
    </row>
    <row r="690" spans="1:20">
      <c r="A690" t="s">
        <v>25</v>
      </c>
      <c r="B690" t="s">
        <v>32</v>
      </c>
      <c r="C690" t="s">
        <v>39</v>
      </c>
      <c r="E690" s="2">
        <v>46034.24284722222</v>
      </c>
      <c r="F690" s="2">
        <v>46034.24324074074</v>
      </c>
      <c r="G690" t="s">
        <v>50</v>
      </c>
      <c r="H690" t="s">
        <v>51</v>
      </c>
      <c r="I690">
        <v>5</v>
      </c>
      <c r="J690">
        <v>5</v>
      </c>
      <c r="K690" t="s">
        <v>53</v>
      </c>
      <c r="L690" t="s">
        <v>62</v>
      </c>
      <c r="M690" t="s">
        <v>71</v>
      </c>
      <c r="N690" t="s">
        <v>74</v>
      </c>
      <c r="O690">
        <v>34</v>
      </c>
      <c r="P690" t="s">
        <v>81</v>
      </c>
      <c r="Q690" t="s">
        <v>85</v>
      </c>
      <c r="R690" t="s">
        <v>93</v>
      </c>
      <c r="S690" t="s">
        <v>107</v>
      </c>
      <c r="T690" t="s">
        <v>114</v>
      </c>
    </row>
    <row r="691" spans="1:20">
      <c r="A691" t="s">
        <v>25</v>
      </c>
      <c r="B691" t="s">
        <v>32</v>
      </c>
      <c r="C691" t="s">
        <v>37</v>
      </c>
      <c r="E691" s="2">
        <v>46034.24324074074</v>
      </c>
      <c r="F691" s="2">
        <v>46034.24325231482</v>
      </c>
      <c r="G691" t="s">
        <v>50</v>
      </c>
      <c r="H691" t="s">
        <v>51</v>
      </c>
      <c r="I691">
        <v>5</v>
      </c>
      <c r="J691">
        <v>5</v>
      </c>
      <c r="K691" t="s">
        <v>53</v>
      </c>
      <c r="L691" t="s">
        <v>62</v>
      </c>
      <c r="M691" t="s">
        <v>71</v>
      </c>
      <c r="N691" t="s">
        <v>74</v>
      </c>
      <c r="O691">
        <v>1</v>
      </c>
      <c r="P691" t="s">
        <v>81</v>
      </c>
      <c r="Q691" t="s">
        <v>85</v>
      </c>
      <c r="R691" t="s">
        <v>93</v>
      </c>
      <c r="S691" t="s">
        <v>107</v>
      </c>
      <c r="T691" t="s">
        <v>114</v>
      </c>
    </row>
    <row r="692" spans="1:20">
      <c r="A692" t="s">
        <v>25</v>
      </c>
      <c r="B692" t="s">
        <v>32</v>
      </c>
      <c r="C692" t="s">
        <v>37</v>
      </c>
      <c r="E692" s="2">
        <v>46034.24325231482</v>
      </c>
      <c r="F692" s="2">
        <v>46034.24400462963</v>
      </c>
      <c r="G692" t="s">
        <v>50</v>
      </c>
      <c r="H692" t="s">
        <v>51</v>
      </c>
      <c r="I692">
        <v>5</v>
      </c>
      <c r="J692">
        <v>5</v>
      </c>
      <c r="K692" t="s">
        <v>53</v>
      </c>
      <c r="L692" t="s">
        <v>62</v>
      </c>
      <c r="M692" t="s">
        <v>73</v>
      </c>
      <c r="N692" t="s">
        <v>76</v>
      </c>
      <c r="O692">
        <v>65</v>
      </c>
      <c r="P692" t="s">
        <v>81</v>
      </c>
      <c r="Q692" t="s">
        <v>85</v>
      </c>
      <c r="R692" t="s">
        <v>93</v>
      </c>
      <c r="S692" t="s">
        <v>107</v>
      </c>
      <c r="T692" t="s">
        <v>114</v>
      </c>
    </row>
    <row r="693" spans="1:20">
      <c r="A693" t="s">
        <v>20</v>
      </c>
      <c r="B693" t="s">
        <v>27</v>
      </c>
      <c r="C693" t="s">
        <v>38</v>
      </c>
      <c r="E693" s="2">
        <v>46034.24331018519</v>
      </c>
      <c r="F693" s="2">
        <v>46034.24689814815</v>
      </c>
      <c r="G693" t="s">
        <v>50</v>
      </c>
      <c r="H693" t="s">
        <v>51</v>
      </c>
      <c r="I693">
        <v>5</v>
      </c>
      <c r="J693">
        <v>5</v>
      </c>
      <c r="K693" t="s">
        <v>52</v>
      </c>
      <c r="L693" t="s">
        <v>66</v>
      </c>
      <c r="O693">
        <v>310</v>
      </c>
      <c r="P693" t="s">
        <v>79</v>
      </c>
      <c r="Q693" t="s">
        <v>85</v>
      </c>
      <c r="R693" t="s">
        <v>91</v>
      </c>
      <c r="S693" t="s">
        <v>105</v>
      </c>
      <c r="T693" t="s">
        <v>114</v>
      </c>
    </row>
    <row r="694" spans="1:20">
      <c r="A694" t="s">
        <v>26</v>
      </c>
      <c r="B694" t="s">
        <v>33</v>
      </c>
      <c r="C694" t="s">
        <v>37</v>
      </c>
      <c r="E694" s="2">
        <v>46034.24337962963</v>
      </c>
      <c r="F694" s="2">
        <v>46034.24368055556</v>
      </c>
      <c r="G694" t="s">
        <v>50</v>
      </c>
      <c r="H694" t="s">
        <v>51</v>
      </c>
      <c r="I694">
        <v>5</v>
      </c>
      <c r="J694">
        <v>5</v>
      </c>
      <c r="L694" t="s">
        <v>63</v>
      </c>
      <c r="M694" t="s">
        <v>71</v>
      </c>
      <c r="N694" t="s">
        <v>74</v>
      </c>
      <c r="O694">
        <v>26</v>
      </c>
      <c r="P694" t="s">
        <v>81</v>
      </c>
      <c r="Q694" t="s">
        <v>85</v>
      </c>
      <c r="R694" t="s">
        <v>93</v>
      </c>
      <c r="S694" t="s">
        <v>107</v>
      </c>
      <c r="T694" t="s">
        <v>114</v>
      </c>
    </row>
    <row r="695" spans="1:20">
      <c r="A695" t="s">
        <v>26</v>
      </c>
      <c r="B695" t="s">
        <v>33</v>
      </c>
      <c r="C695" t="s">
        <v>38</v>
      </c>
      <c r="E695" s="2">
        <v>46034.24368055556</v>
      </c>
      <c r="F695" s="2">
        <v>46034.25</v>
      </c>
      <c r="G695" t="s">
        <v>50</v>
      </c>
      <c r="H695" t="s">
        <v>51</v>
      </c>
      <c r="I695">
        <v>5</v>
      </c>
      <c r="J695">
        <v>5</v>
      </c>
      <c r="L695" t="s">
        <v>63</v>
      </c>
      <c r="M695" t="s">
        <v>71</v>
      </c>
      <c r="N695" t="s">
        <v>74</v>
      </c>
      <c r="O695">
        <v>546</v>
      </c>
      <c r="P695" t="s">
        <v>79</v>
      </c>
      <c r="Q695" t="s">
        <v>85</v>
      </c>
      <c r="R695" t="s">
        <v>91</v>
      </c>
      <c r="S695" t="s">
        <v>105</v>
      </c>
      <c r="T695" t="s">
        <v>114</v>
      </c>
    </row>
    <row r="696" spans="1:20">
      <c r="A696" t="s">
        <v>25</v>
      </c>
      <c r="B696" t="s">
        <v>32</v>
      </c>
      <c r="C696" t="s">
        <v>37</v>
      </c>
      <c r="E696" s="2">
        <v>46034.24400462963</v>
      </c>
      <c r="F696" s="2">
        <v>46034.24476851852</v>
      </c>
      <c r="G696" t="s">
        <v>50</v>
      </c>
      <c r="H696" t="s">
        <v>51</v>
      </c>
      <c r="I696">
        <v>5</v>
      </c>
      <c r="J696">
        <v>5</v>
      </c>
      <c r="K696" t="s">
        <v>53</v>
      </c>
      <c r="L696" t="s">
        <v>62</v>
      </c>
      <c r="M696" t="s">
        <v>71</v>
      </c>
      <c r="N696" t="s">
        <v>74</v>
      </c>
      <c r="O696">
        <v>66</v>
      </c>
      <c r="P696" t="s">
        <v>81</v>
      </c>
      <c r="Q696" t="s">
        <v>85</v>
      </c>
      <c r="R696" t="s">
        <v>93</v>
      </c>
      <c r="S696" t="s">
        <v>107</v>
      </c>
      <c r="T696" t="s">
        <v>114</v>
      </c>
    </row>
    <row r="697" spans="1:20">
      <c r="A697" t="s">
        <v>25</v>
      </c>
      <c r="B697" t="s">
        <v>32</v>
      </c>
      <c r="C697" t="s">
        <v>38</v>
      </c>
      <c r="E697" s="2">
        <v>46034.24476851852</v>
      </c>
      <c r="F697" s="2">
        <v>46034.24510416666</v>
      </c>
      <c r="G697" t="s">
        <v>50</v>
      </c>
      <c r="H697" t="s">
        <v>51</v>
      </c>
      <c r="I697">
        <v>5</v>
      </c>
      <c r="J697">
        <v>5</v>
      </c>
      <c r="K697" t="s">
        <v>53</v>
      </c>
      <c r="L697" t="s">
        <v>62</v>
      </c>
      <c r="M697" t="s">
        <v>71</v>
      </c>
      <c r="N697" t="s">
        <v>74</v>
      </c>
      <c r="O697">
        <v>29</v>
      </c>
      <c r="P697" t="s">
        <v>79</v>
      </c>
      <c r="Q697" t="s">
        <v>85</v>
      </c>
      <c r="R697" t="s">
        <v>91</v>
      </c>
      <c r="S697" t="s">
        <v>105</v>
      </c>
      <c r="T697" t="s">
        <v>114</v>
      </c>
    </row>
    <row r="698" spans="1:20">
      <c r="A698" t="s">
        <v>25</v>
      </c>
      <c r="B698" t="s">
        <v>32</v>
      </c>
      <c r="C698" t="s">
        <v>38</v>
      </c>
      <c r="E698" s="2">
        <v>46034.24510416666</v>
      </c>
      <c r="F698" s="2">
        <v>46034.25</v>
      </c>
      <c r="G698" t="s">
        <v>50</v>
      </c>
      <c r="H698" t="s">
        <v>51</v>
      </c>
      <c r="I698">
        <v>5</v>
      </c>
      <c r="J698">
        <v>5</v>
      </c>
      <c r="K698" t="s">
        <v>53</v>
      </c>
      <c r="L698" t="s">
        <v>62</v>
      </c>
      <c r="M698" t="s">
        <v>73</v>
      </c>
      <c r="N698" t="s">
        <v>74</v>
      </c>
      <c r="O698">
        <v>423</v>
      </c>
      <c r="P698" t="s">
        <v>79</v>
      </c>
      <c r="Q698" t="s">
        <v>85</v>
      </c>
      <c r="R698" t="s">
        <v>91</v>
      </c>
      <c r="S698" t="s">
        <v>105</v>
      </c>
      <c r="T698" t="s">
        <v>114</v>
      </c>
    </row>
    <row r="699" spans="1:20">
      <c r="A699" t="s">
        <v>24</v>
      </c>
      <c r="B699" t="s">
        <v>31</v>
      </c>
      <c r="C699" t="s">
        <v>35</v>
      </c>
      <c r="D699" t="s">
        <v>46</v>
      </c>
      <c r="E699" s="2">
        <v>46034.24576388889</v>
      </c>
      <c r="F699" s="2">
        <v>46034.2458449074</v>
      </c>
      <c r="G699" t="s">
        <v>50</v>
      </c>
      <c r="H699" t="s">
        <v>51</v>
      </c>
      <c r="I699">
        <v>5</v>
      </c>
      <c r="J699">
        <v>5</v>
      </c>
      <c r="K699" t="s">
        <v>56</v>
      </c>
      <c r="L699" t="s">
        <v>67</v>
      </c>
      <c r="N699" t="s">
        <v>74</v>
      </c>
      <c r="O699">
        <v>7</v>
      </c>
      <c r="P699" t="s">
        <v>46</v>
      </c>
      <c r="Q699" t="s">
        <v>84</v>
      </c>
      <c r="R699" t="s">
        <v>96</v>
      </c>
      <c r="S699" t="s">
        <v>110</v>
      </c>
      <c r="T699" t="s">
        <v>116</v>
      </c>
    </row>
    <row r="700" spans="1:20">
      <c r="A700" t="s">
        <v>24</v>
      </c>
      <c r="B700" t="s">
        <v>31</v>
      </c>
      <c r="C700" t="s">
        <v>35</v>
      </c>
      <c r="D700" t="s">
        <v>46</v>
      </c>
      <c r="E700" s="2">
        <v>46034.2458449074</v>
      </c>
      <c r="F700" s="2">
        <v>46034.24585648148</v>
      </c>
      <c r="G700" t="s">
        <v>50</v>
      </c>
      <c r="H700" t="s">
        <v>51</v>
      </c>
      <c r="I700">
        <v>5</v>
      </c>
      <c r="J700">
        <v>5</v>
      </c>
      <c r="K700" t="s">
        <v>56</v>
      </c>
      <c r="L700" t="s">
        <v>67</v>
      </c>
      <c r="N700" t="s">
        <v>74</v>
      </c>
      <c r="O700">
        <v>1</v>
      </c>
      <c r="P700" t="s">
        <v>46</v>
      </c>
      <c r="Q700" t="s">
        <v>84</v>
      </c>
      <c r="R700" t="s">
        <v>96</v>
      </c>
      <c r="S700" t="s">
        <v>110</v>
      </c>
      <c r="T700" t="s">
        <v>116</v>
      </c>
    </row>
    <row r="701" spans="1:20">
      <c r="A701" t="s">
        <v>24</v>
      </c>
      <c r="B701" t="s">
        <v>31</v>
      </c>
      <c r="C701" t="s">
        <v>35</v>
      </c>
      <c r="D701" t="s">
        <v>46</v>
      </c>
      <c r="E701" s="2">
        <v>46034.24585648148</v>
      </c>
      <c r="F701" s="2">
        <v>46034.24627314815</v>
      </c>
      <c r="G701" t="s">
        <v>50</v>
      </c>
      <c r="H701" t="s">
        <v>51</v>
      </c>
      <c r="I701">
        <v>5</v>
      </c>
      <c r="J701">
        <v>5</v>
      </c>
      <c r="K701" t="s">
        <v>56</v>
      </c>
      <c r="L701" t="s">
        <v>67</v>
      </c>
      <c r="N701" t="s">
        <v>75</v>
      </c>
      <c r="O701">
        <v>36</v>
      </c>
      <c r="P701" t="s">
        <v>46</v>
      </c>
      <c r="Q701" t="s">
        <v>84</v>
      </c>
      <c r="R701" t="s">
        <v>96</v>
      </c>
      <c r="S701" t="s">
        <v>110</v>
      </c>
      <c r="T701" t="s">
        <v>116</v>
      </c>
    </row>
    <row r="702" spans="1:20">
      <c r="A702" t="s">
        <v>24</v>
      </c>
      <c r="B702" t="s">
        <v>31</v>
      </c>
      <c r="C702" t="s">
        <v>35</v>
      </c>
      <c r="D702" t="s">
        <v>46</v>
      </c>
      <c r="E702" s="2">
        <v>46034.24627314815</v>
      </c>
      <c r="F702" s="2">
        <v>46034.24806712963</v>
      </c>
      <c r="G702" t="s">
        <v>50</v>
      </c>
      <c r="H702" t="s">
        <v>51</v>
      </c>
      <c r="I702">
        <v>5</v>
      </c>
      <c r="J702">
        <v>5</v>
      </c>
      <c r="K702" t="s">
        <v>56</v>
      </c>
      <c r="L702" t="s">
        <v>67</v>
      </c>
      <c r="N702" t="s">
        <v>74</v>
      </c>
      <c r="O702">
        <v>155</v>
      </c>
      <c r="P702" t="s">
        <v>46</v>
      </c>
      <c r="Q702" t="s">
        <v>84</v>
      </c>
      <c r="R702" t="s">
        <v>96</v>
      </c>
      <c r="S702" t="s">
        <v>110</v>
      </c>
      <c r="T702" t="s">
        <v>116</v>
      </c>
    </row>
    <row r="703" spans="1:20">
      <c r="A703" t="s">
        <v>21</v>
      </c>
      <c r="B703" t="s">
        <v>28</v>
      </c>
      <c r="C703" t="s">
        <v>39</v>
      </c>
      <c r="E703" s="2">
        <v>46034.24672453704</v>
      </c>
      <c r="F703" s="2">
        <v>46034.2478125</v>
      </c>
      <c r="G703" t="s">
        <v>50</v>
      </c>
      <c r="H703" t="s">
        <v>51</v>
      </c>
      <c r="I703">
        <v>5</v>
      </c>
      <c r="J703">
        <v>5</v>
      </c>
      <c r="K703" t="s">
        <v>54</v>
      </c>
      <c r="L703" t="s">
        <v>68</v>
      </c>
      <c r="M703" t="s">
        <v>69</v>
      </c>
      <c r="N703" t="s">
        <v>74</v>
      </c>
      <c r="O703">
        <v>94</v>
      </c>
      <c r="P703" t="s">
        <v>81</v>
      </c>
      <c r="Q703" t="s">
        <v>85</v>
      </c>
      <c r="R703" t="s">
        <v>93</v>
      </c>
      <c r="S703" t="s">
        <v>107</v>
      </c>
      <c r="T703" t="s">
        <v>114</v>
      </c>
    </row>
    <row r="704" spans="1:20">
      <c r="A704" t="s">
        <v>20</v>
      </c>
      <c r="B704" t="s">
        <v>27</v>
      </c>
      <c r="C704" t="s">
        <v>36</v>
      </c>
      <c r="E704" s="2">
        <v>46034.24689814815</v>
      </c>
      <c r="F704" s="2">
        <v>46034.25</v>
      </c>
      <c r="G704" t="s">
        <v>50</v>
      </c>
      <c r="H704" t="s">
        <v>51</v>
      </c>
      <c r="I704">
        <v>5</v>
      </c>
      <c r="J704">
        <v>5</v>
      </c>
      <c r="K704" t="s">
        <v>52</v>
      </c>
      <c r="L704" t="s">
        <v>66</v>
      </c>
      <c r="O704">
        <v>268</v>
      </c>
      <c r="P704" t="s">
        <v>79</v>
      </c>
      <c r="Q704" t="s">
        <v>85</v>
      </c>
      <c r="R704" t="s">
        <v>91</v>
      </c>
      <c r="S704" t="s">
        <v>105</v>
      </c>
      <c r="T704" t="s">
        <v>114</v>
      </c>
    </row>
    <row r="705" spans="1:20">
      <c r="A705" t="s">
        <v>21</v>
      </c>
      <c r="B705" t="s">
        <v>28</v>
      </c>
      <c r="C705" t="s">
        <v>37</v>
      </c>
      <c r="E705" s="2">
        <v>46034.2478125</v>
      </c>
      <c r="F705" s="2">
        <v>46034.24793981481</v>
      </c>
      <c r="G705" t="s">
        <v>50</v>
      </c>
      <c r="H705" t="s">
        <v>51</v>
      </c>
      <c r="I705">
        <v>5</v>
      </c>
      <c r="J705">
        <v>5</v>
      </c>
      <c r="K705" t="s">
        <v>54</v>
      </c>
      <c r="L705" t="s">
        <v>68</v>
      </c>
      <c r="M705" t="s">
        <v>69</v>
      </c>
      <c r="N705" t="s">
        <v>74</v>
      </c>
      <c r="O705">
        <v>11</v>
      </c>
      <c r="P705" t="s">
        <v>81</v>
      </c>
      <c r="Q705" t="s">
        <v>85</v>
      </c>
      <c r="R705" t="s">
        <v>93</v>
      </c>
      <c r="S705" t="s">
        <v>107</v>
      </c>
      <c r="T705" t="s">
        <v>114</v>
      </c>
    </row>
    <row r="706" spans="1:20">
      <c r="A706" t="s">
        <v>21</v>
      </c>
      <c r="B706" t="s">
        <v>28</v>
      </c>
      <c r="C706" t="s">
        <v>37</v>
      </c>
      <c r="E706" s="2">
        <v>46034.24793981481</v>
      </c>
      <c r="F706" s="2">
        <v>46034.24841435185</v>
      </c>
      <c r="G706" t="s">
        <v>50</v>
      </c>
      <c r="H706" t="s">
        <v>51</v>
      </c>
      <c r="I706">
        <v>5</v>
      </c>
      <c r="J706">
        <v>5</v>
      </c>
      <c r="K706" t="s">
        <v>54</v>
      </c>
      <c r="L706" t="s">
        <v>68</v>
      </c>
      <c r="M706" t="s">
        <v>69</v>
      </c>
      <c r="N706" t="s">
        <v>76</v>
      </c>
      <c r="O706">
        <v>41</v>
      </c>
      <c r="P706" t="s">
        <v>81</v>
      </c>
      <c r="Q706" t="s">
        <v>85</v>
      </c>
      <c r="R706" t="s">
        <v>93</v>
      </c>
      <c r="S706" t="s">
        <v>107</v>
      </c>
      <c r="T706" t="s">
        <v>114</v>
      </c>
    </row>
    <row r="707" spans="1:20">
      <c r="A707" t="s">
        <v>24</v>
      </c>
      <c r="B707" t="s">
        <v>31</v>
      </c>
      <c r="C707" t="s">
        <v>37</v>
      </c>
      <c r="E707" s="2">
        <v>46034.24806712963</v>
      </c>
      <c r="F707" s="2">
        <v>46034.24819444444</v>
      </c>
      <c r="G707" t="s">
        <v>50</v>
      </c>
      <c r="H707" t="s">
        <v>51</v>
      </c>
      <c r="I707">
        <v>5</v>
      </c>
      <c r="J707">
        <v>5</v>
      </c>
      <c r="K707" t="s">
        <v>56</v>
      </c>
      <c r="L707" t="s">
        <v>67</v>
      </c>
      <c r="N707" t="s">
        <v>74</v>
      </c>
      <c r="O707">
        <v>11</v>
      </c>
      <c r="P707" t="s">
        <v>81</v>
      </c>
      <c r="Q707" t="s">
        <v>85</v>
      </c>
      <c r="R707" t="s">
        <v>93</v>
      </c>
      <c r="S707" t="s">
        <v>107</v>
      </c>
      <c r="T707" t="s">
        <v>114</v>
      </c>
    </row>
    <row r="708" spans="1:20">
      <c r="A708" t="s">
        <v>24</v>
      </c>
      <c r="B708" t="s">
        <v>31</v>
      </c>
      <c r="C708" t="s">
        <v>39</v>
      </c>
      <c r="E708" s="2">
        <v>46034.24819444444</v>
      </c>
      <c r="F708" s="2">
        <v>46034.24870370371</v>
      </c>
      <c r="G708" t="s">
        <v>50</v>
      </c>
      <c r="H708" t="s">
        <v>51</v>
      </c>
      <c r="I708">
        <v>5</v>
      </c>
      <c r="J708">
        <v>5</v>
      </c>
      <c r="K708" t="s">
        <v>56</v>
      </c>
      <c r="L708" t="s">
        <v>67</v>
      </c>
      <c r="N708" t="s">
        <v>74</v>
      </c>
      <c r="O708">
        <v>44</v>
      </c>
      <c r="P708" t="s">
        <v>81</v>
      </c>
      <c r="Q708" t="s">
        <v>85</v>
      </c>
      <c r="R708" t="s">
        <v>93</v>
      </c>
      <c r="S708" t="s">
        <v>107</v>
      </c>
      <c r="T708" t="s">
        <v>114</v>
      </c>
    </row>
    <row r="709" spans="1:20">
      <c r="A709" t="s">
        <v>21</v>
      </c>
      <c r="B709" t="s">
        <v>28</v>
      </c>
      <c r="C709" t="s">
        <v>37</v>
      </c>
      <c r="E709" s="2">
        <v>46034.24841435185</v>
      </c>
      <c r="F709" s="2">
        <v>46034.2487962963</v>
      </c>
      <c r="G709" t="s">
        <v>50</v>
      </c>
      <c r="H709" t="s">
        <v>51</v>
      </c>
      <c r="I709">
        <v>5</v>
      </c>
      <c r="J709">
        <v>5</v>
      </c>
      <c r="K709" t="s">
        <v>54</v>
      </c>
      <c r="L709" t="s">
        <v>68</v>
      </c>
      <c r="M709" t="s">
        <v>69</v>
      </c>
      <c r="N709" t="s">
        <v>74</v>
      </c>
      <c r="O709">
        <v>33</v>
      </c>
      <c r="P709" t="s">
        <v>81</v>
      </c>
      <c r="Q709" t="s">
        <v>85</v>
      </c>
      <c r="R709" t="s">
        <v>93</v>
      </c>
      <c r="S709" t="s">
        <v>107</v>
      </c>
      <c r="T709" t="s">
        <v>114</v>
      </c>
    </row>
    <row r="710" spans="1:20">
      <c r="A710" t="s">
        <v>24</v>
      </c>
      <c r="B710" t="s">
        <v>31</v>
      </c>
      <c r="C710" t="s">
        <v>37</v>
      </c>
      <c r="E710" s="2">
        <v>46034.24870370371</v>
      </c>
      <c r="F710" s="2">
        <v>46034.24872685185</v>
      </c>
      <c r="G710" t="s">
        <v>50</v>
      </c>
      <c r="H710" t="s">
        <v>51</v>
      </c>
      <c r="I710">
        <v>5</v>
      </c>
      <c r="J710">
        <v>5</v>
      </c>
      <c r="K710" t="s">
        <v>56</v>
      </c>
      <c r="L710" t="s">
        <v>67</v>
      </c>
      <c r="N710" t="s">
        <v>74</v>
      </c>
      <c r="O710">
        <v>2</v>
      </c>
      <c r="P710" t="s">
        <v>81</v>
      </c>
      <c r="Q710" t="s">
        <v>85</v>
      </c>
      <c r="R710" t="s">
        <v>93</v>
      </c>
      <c r="S710" t="s">
        <v>107</v>
      </c>
      <c r="T710" t="s">
        <v>114</v>
      </c>
    </row>
    <row r="711" spans="1:20">
      <c r="A711" t="s">
        <v>24</v>
      </c>
      <c r="B711" t="s">
        <v>31</v>
      </c>
      <c r="C711" t="s">
        <v>37</v>
      </c>
      <c r="E711" s="2">
        <v>46034.24872685185</v>
      </c>
      <c r="F711" s="2">
        <v>46034.24873842593</v>
      </c>
      <c r="G711" t="s">
        <v>50</v>
      </c>
      <c r="H711" t="s">
        <v>51</v>
      </c>
      <c r="I711">
        <v>5</v>
      </c>
      <c r="J711">
        <v>5</v>
      </c>
      <c r="K711" t="s">
        <v>56</v>
      </c>
      <c r="L711" t="s">
        <v>67</v>
      </c>
      <c r="N711" t="s">
        <v>76</v>
      </c>
      <c r="O711">
        <v>1</v>
      </c>
      <c r="P711" t="s">
        <v>81</v>
      </c>
      <c r="Q711" t="s">
        <v>85</v>
      </c>
      <c r="R711" t="s">
        <v>93</v>
      </c>
      <c r="S711" t="s">
        <v>107</v>
      </c>
      <c r="T711" t="s">
        <v>114</v>
      </c>
    </row>
    <row r="712" spans="1:20">
      <c r="A712" t="s">
        <v>24</v>
      </c>
      <c r="B712" t="s">
        <v>31</v>
      </c>
      <c r="C712" t="s">
        <v>37</v>
      </c>
      <c r="E712" s="2">
        <v>46034.24873842593</v>
      </c>
      <c r="F712" s="2">
        <v>46034.24924768518</v>
      </c>
      <c r="G712" t="s">
        <v>50</v>
      </c>
      <c r="H712" t="s">
        <v>51</v>
      </c>
      <c r="I712">
        <v>5</v>
      </c>
      <c r="J712">
        <v>5</v>
      </c>
      <c r="K712" t="s">
        <v>56</v>
      </c>
      <c r="L712" t="s">
        <v>67</v>
      </c>
      <c r="N712" t="s">
        <v>74</v>
      </c>
      <c r="O712">
        <v>44</v>
      </c>
      <c r="P712" t="s">
        <v>81</v>
      </c>
      <c r="Q712" t="s">
        <v>85</v>
      </c>
      <c r="R712" t="s">
        <v>93</v>
      </c>
      <c r="S712" t="s">
        <v>107</v>
      </c>
      <c r="T712" t="s">
        <v>114</v>
      </c>
    </row>
    <row r="713" spans="1:20">
      <c r="A713" t="s">
        <v>21</v>
      </c>
      <c r="B713" t="s">
        <v>28</v>
      </c>
      <c r="C713" t="s">
        <v>38</v>
      </c>
      <c r="E713" s="2">
        <v>46034.2487962963</v>
      </c>
      <c r="F713" s="2">
        <v>46034.24967592592</v>
      </c>
      <c r="G713" t="s">
        <v>50</v>
      </c>
      <c r="H713" t="s">
        <v>51</v>
      </c>
      <c r="I713">
        <v>5</v>
      </c>
      <c r="J713">
        <v>5</v>
      </c>
      <c r="K713" t="s">
        <v>54</v>
      </c>
      <c r="L713" t="s">
        <v>68</v>
      </c>
      <c r="M713" t="s">
        <v>69</v>
      </c>
      <c r="N713" t="s">
        <v>74</v>
      </c>
      <c r="O713">
        <v>76</v>
      </c>
      <c r="P713" t="s">
        <v>79</v>
      </c>
      <c r="Q713" t="s">
        <v>85</v>
      </c>
      <c r="R713" t="s">
        <v>91</v>
      </c>
      <c r="S713" t="s">
        <v>105</v>
      </c>
      <c r="T713" t="s">
        <v>114</v>
      </c>
    </row>
    <row r="714" spans="1:20">
      <c r="A714" t="s">
        <v>24</v>
      </c>
      <c r="B714" t="s">
        <v>31</v>
      </c>
      <c r="C714" t="s">
        <v>38</v>
      </c>
      <c r="E714" s="2">
        <v>46034.24924768518</v>
      </c>
      <c r="F714" s="2">
        <v>46034.2494212963</v>
      </c>
      <c r="G714" t="s">
        <v>50</v>
      </c>
      <c r="H714" t="s">
        <v>51</v>
      </c>
      <c r="I714">
        <v>5</v>
      </c>
      <c r="J714">
        <v>5</v>
      </c>
      <c r="K714" t="s">
        <v>56</v>
      </c>
      <c r="L714" t="s">
        <v>67</v>
      </c>
      <c r="N714" t="s">
        <v>74</v>
      </c>
      <c r="O714">
        <v>15</v>
      </c>
      <c r="P714" t="s">
        <v>79</v>
      </c>
      <c r="Q714" t="s">
        <v>85</v>
      </c>
      <c r="R714" t="s">
        <v>91</v>
      </c>
      <c r="S714" t="s">
        <v>105</v>
      </c>
      <c r="T714" t="s">
        <v>114</v>
      </c>
    </row>
    <row r="715" spans="1:20">
      <c r="A715" t="s">
        <v>24</v>
      </c>
      <c r="B715" t="s">
        <v>31</v>
      </c>
      <c r="C715" t="s">
        <v>36</v>
      </c>
      <c r="E715" s="2">
        <v>46034.2494212963</v>
      </c>
      <c r="F715" s="2">
        <v>46034.25</v>
      </c>
      <c r="G715" t="s">
        <v>50</v>
      </c>
      <c r="H715" t="s">
        <v>51</v>
      </c>
      <c r="I715">
        <v>5</v>
      </c>
      <c r="J715">
        <v>5</v>
      </c>
      <c r="K715" t="s">
        <v>56</v>
      </c>
      <c r="L715" t="s">
        <v>67</v>
      </c>
      <c r="N715" t="s">
        <v>74</v>
      </c>
      <c r="O715">
        <v>50</v>
      </c>
      <c r="P715" t="s">
        <v>79</v>
      </c>
      <c r="Q715" t="s">
        <v>85</v>
      </c>
      <c r="R715" t="s">
        <v>91</v>
      </c>
      <c r="S715" t="s">
        <v>105</v>
      </c>
      <c r="T715" t="s">
        <v>114</v>
      </c>
    </row>
    <row r="716" spans="1:20">
      <c r="A716" t="s">
        <v>21</v>
      </c>
      <c r="B716" t="s">
        <v>28</v>
      </c>
      <c r="C716" t="s">
        <v>36</v>
      </c>
      <c r="E716" s="2">
        <v>46034.24967592592</v>
      </c>
      <c r="F716" s="2">
        <v>46034.25</v>
      </c>
      <c r="G716" t="s">
        <v>50</v>
      </c>
      <c r="H716" t="s">
        <v>51</v>
      </c>
      <c r="I716">
        <v>5</v>
      </c>
      <c r="J716">
        <v>5</v>
      </c>
      <c r="K716" t="s">
        <v>54</v>
      </c>
      <c r="L716" t="s">
        <v>68</v>
      </c>
      <c r="M716" t="s">
        <v>69</v>
      </c>
      <c r="N716" t="s">
        <v>74</v>
      </c>
      <c r="O716">
        <v>28</v>
      </c>
      <c r="P716" t="s">
        <v>79</v>
      </c>
      <c r="Q716" t="s">
        <v>85</v>
      </c>
      <c r="R716" t="s">
        <v>91</v>
      </c>
      <c r="S716" t="s">
        <v>105</v>
      </c>
      <c r="T716" t="s">
        <v>114</v>
      </c>
    </row>
    <row r="717" spans="1:20">
      <c r="A717" t="s">
        <v>21</v>
      </c>
      <c r="B717" t="s">
        <v>28</v>
      </c>
      <c r="C717" t="s">
        <v>36</v>
      </c>
      <c r="E717" s="2">
        <v>46034.25</v>
      </c>
      <c r="F717" s="2">
        <v>46034.27671296296</v>
      </c>
      <c r="G717" t="s">
        <v>50</v>
      </c>
      <c r="H717" t="s">
        <v>51</v>
      </c>
      <c r="I717">
        <v>6</v>
      </c>
      <c r="J717">
        <v>6</v>
      </c>
      <c r="K717" t="s">
        <v>54</v>
      </c>
      <c r="L717" t="s">
        <v>68</v>
      </c>
      <c r="M717" t="s">
        <v>69</v>
      </c>
      <c r="N717" t="s">
        <v>74</v>
      </c>
      <c r="O717">
        <v>2308</v>
      </c>
      <c r="P717" t="s">
        <v>79</v>
      </c>
      <c r="Q717" t="s">
        <v>85</v>
      </c>
      <c r="R717" t="s">
        <v>91</v>
      </c>
      <c r="S717" t="s">
        <v>105</v>
      </c>
      <c r="T717" t="s">
        <v>114</v>
      </c>
    </row>
    <row r="718" spans="1:20">
      <c r="A718" t="s">
        <v>22</v>
      </c>
      <c r="B718" t="s">
        <v>29</v>
      </c>
      <c r="C718" t="s">
        <v>35</v>
      </c>
      <c r="D718" t="s">
        <v>48</v>
      </c>
      <c r="E718" s="2">
        <v>46034.25</v>
      </c>
      <c r="F718" s="2">
        <v>46034.26091435185</v>
      </c>
      <c r="G718" t="s">
        <v>50</v>
      </c>
      <c r="H718" t="s">
        <v>51</v>
      </c>
      <c r="I718">
        <v>6</v>
      </c>
      <c r="J718">
        <v>6</v>
      </c>
      <c r="K718" t="s">
        <v>54</v>
      </c>
      <c r="L718" t="s">
        <v>64</v>
      </c>
      <c r="M718" t="s">
        <v>69</v>
      </c>
      <c r="N718" t="s">
        <v>74</v>
      </c>
      <c r="O718">
        <v>943</v>
      </c>
      <c r="P718" t="s">
        <v>48</v>
      </c>
      <c r="R718" t="s">
        <v>98</v>
      </c>
      <c r="S718" t="s">
        <v>112</v>
      </c>
      <c r="T718" t="s">
        <v>114</v>
      </c>
    </row>
    <row r="719" spans="1:20">
      <c r="A719" t="s">
        <v>20</v>
      </c>
      <c r="B719" t="s">
        <v>27</v>
      </c>
      <c r="C719" t="s">
        <v>36</v>
      </c>
      <c r="E719" s="2">
        <v>46034.25</v>
      </c>
      <c r="F719" s="2">
        <v>46034.25696759259</v>
      </c>
      <c r="G719" t="s">
        <v>50</v>
      </c>
      <c r="H719" t="s">
        <v>51</v>
      </c>
      <c r="I719">
        <v>6</v>
      </c>
      <c r="J719">
        <v>6</v>
      </c>
      <c r="K719" t="s">
        <v>52</v>
      </c>
      <c r="L719" t="s">
        <v>66</v>
      </c>
      <c r="O719">
        <v>602</v>
      </c>
      <c r="P719" t="s">
        <v>79</v>
      </c>
      <c r="Q719" t="s">
        <v>85</v>
      </c>
      <c r="R719" t="s">
        <v>91</v>
      </c>
      <c r="S719" t="s">
        <v>105</v>
      </c>
      <c r="T719" t="s">
        <v>114</v>
      </c>
    </row>
    <row r="720" spans="1:20">
      <c r="A720" t="s">
        <v>24</v>
      </c>
      <c r="B720" t="s">
        <v>31</v>
      </c>
      <c r="C720" t="s">
        <v>36</v>
      </c>
      <c r="E720" s="2">
        <v>46034.25</v>
      </c>
      <c r="F720" s="2">
        <v>46034.27621527778</v>
      </c>
      <c r="G720" t="s">
        <v>50</v>
      </c>
      <c r="H720" t="s">
        <v>51</v>
      </c>
      <c r="I720">
        <v>6</v>
      </c>
      <c r="J720">
        <v>6</v>
      </c>
      <c r="K720" t="s">
        <v>56</v>
      </c>
      <c r="L720" t="s">
        <v>67</v>
      </c>
      <c r="N720" t="s">
        <v>74</v>
      </c>
      <c r="O720">
        <v>2265</v>
      </c>
      <c r="P720" t="s">
        <v>79</v>
      </c>
      <c r="Q720" t="s">
        <v>85</v>
      </c>
      <c r="R720" t="s">
        <v>91</v>
      </c>
      <c r="S720" t="s">
        <v>105</v>
      </c>
      <c r="T720" t="s">
        <v>114</v>
      </c>
    </row>
    <row r="721" spans="1:20">
      <c r="A721" t="s">
        <v>23</v>
      </c>
      <c r="B721" t="s">
        <v>30</v>
      </c>
      <c r="C721" t="s">
        <v>36</v>
      </c>
      <c r="E721" s="2">
        <v>46034.25</v>
      </c>
      <c r="F721" s="2">
        <v>46034.26170138889</v>
      </c>
      <c r="G721" t="s">
        <v>50</v>
      </c>
      <c r="H721" t="s">
        <v>51</v>
      </c>
      <c r="I721">
        <v>6</v>
      </c>
      <c r="J721">
        <v>6</v>
      </c>
      <c r="K721" t="s">
        <v>55</v>
      </c>
      <c r="L721" t="s">
        <v>65</v>
      </c>
      <c r="M721" t="s">
        <v>69</v>
      </c>
      <c r="N721" t="s">
        <v>74</v>
      </c>
      <c r="O721">
        <v>1011</v>
      </c>
      <c r="P721" t="s">
        <v>79</v>
      </c>
      <c r="Q721" t="s">
        <v>85</v>
      </c>
      <c r="R721" t="s">
        <v>91</v>
      </c>
      <c r="S721" t="s">
        <v>105</v>
      </c>
      <c r="T721" t="s">
        <v>114</v>
      </c>
    </row>
    <row r="722" spans="1:20">
      <c r="A722" t="s">
        <v>25</v>
      </c>
      <c r="B722" t="s">
        <v>32</v>
      </c>
      <c r="C722" t="s">
        <v>38</v>
      </c>
      <c r="E722" s="2">
        <v>46034.25</v>
      </c>
      <c r="F722" s="2">
        <v>46034.25153935186</v>
      </c>
      <c r="G722" t="s">
        <v>50</v>
      </c>
      <c r="H722" t="s">
        <v>51</v>
      </c>
      <c r="I722">
        <v>6</v>
      </c>
      <c r="J722">
        <v>6</v>
      </c>
      <c r="K722" t="s">
        <v>53</v>
      </c>
      <c r="L722" t="s">
        <v>62</v>
      </c>
      <c r="M722" t="s">
        <v>73</v>
      </c>
      <c r="N722" t="s">
        <v>74</v>
      </c>
      <c r="O722">
        <v>133</v>
      </c>
      <c r="P722" t="s">
        <v>79</v>
      </c>
      <c r="Q722" t="s">
        <v>85</v>
      </c>
      <c r="R722" t="s">
        <v>91</v>
      </c>
      <c r="S722" t="s">
        <v>105</v>
      </c>
      <c r="T722" t="s">
        <v>114</v>
      </c>
    </row>
    <row r="723" spans="1:20">
      <c r="A723" t="s">
        <v>26</v>
      </c>
      <c r="B723" t="s">
        <v>33</v>
      </c>
      <c r="C723" t="s">
        <v>38</v>
      </c>
      <c r="E723" s="2">
        <v>46034.25</v>
      </c>
      <c r="F723" s="2">
        <v>46034.25046296296</v>
      </c>
      <c r="G723" t="s">
        <v>50</v>
      </c>
      <c r="H723" t="s">
        <v>51</v>
      </c>
      <c r="I723">
        <v>6</v>
      </c>
      <c r="J723">
        <v>6</v>
      </c>
      <c r="L723" t="s">
        <v>63</v>
      </c>
      <c r="M723" t="s">
        <v>71</v>
      </c>
      <c r="N723" t="s">
        <v>74</v>
      </c>
      <c r="O723">
        <v>40</v>
      </c>
      <c r="P723" t="s">
        <v>79</v>
      </c>
      <c r="Q723" t="s">
        <v>85</v>
      </c>
      <c r="R723" t="s">
        <v>91</v>
      </c>
      <c r="S723" t="s">
        <v>105</v>
      </c>
      <c r="T723" t="s">
        <v>114</v>
      </c>
    </row>
    <row r="724" spans="1:20">
      <c r="A724" t="s">
        <v>26</v>
      </c>
      <c r="B724" t="s">
        <v>33</v>
      </c>
      <c r="C724" t="s">
        <v>38</v>
      </c>
      <c r="E724" s="2">
        <v>46034.25046296296</v>
      </c>
      <c r="F724" s="2">
        <v>46034.25060185185</v>
      </c>
      <c r="G724" t="s">
        <v>50</v>
      </c>
      <c r="H724" t="s">
        <v>51</v>
      </c>
      <c r="I724">
        <v>6</v>
      </c>
      <c r="J724">
        <v>6</v>
      </c>
      <c r="L724" t="s">
        <v>63</v>
      </c>
      <c r="M724" t="s">
        <v>70</v>
      </c>
      <c r="N724" t="s">
        <v>74</v>
      </c>
      <c r="O724">
        <v>12</v>
      </c>
      <c r="P724" t="s">
        <v>79</v>
      </c>
      <c r="Q724" t="s">
        <v>85</v>
      </c>
      <c r="R724" t="s">
        <v>91</v>
      </c>
      <c r="S724" t="s">
        <v>105</v>
      </c>
      <c r="T724" t="s">
        <v>114</v>
      </c>
    </row>
    <row r="725" spans="1:20">
      <c r="A725" t="s">
        <v>26</v>
      </c>
      <c r="B725" t="s">
        <v>33</v>
      </c>
      <c r="C725" t="s">
        <v>38</v>
      </c>
      <c r="E725" s="2">
        <v>46034.25060185185</v>
      </c>
      <c r="F725" s="2">
        <v>46034.28057870371</v>
      </c>
      <c r="G725" t="s">
        <v>50</v>
      </c>
      <c r="H725" t="s">
        <v>51</v>
      </c>
      <c r="I725">
        <v>6</v>
      </c>
      <c r="J725">
        <v>6</v>
      </c>
      <c r="L725" t="s">
        <v>63</v>
      </c>
      <c r="M725" t="s">
        <v>71</v>
      </c>
      <c r="N725" t="s">
        <v>74</v>
      </c>
      <c r="O725">
        <v>2590</v>
      </c>
      <c r="P725" t="s">
        <v>79</v>
      </c>
      <c r="Q725" t="s">
        <v>85</v>
      </c>
      <c r="R725" t="s">
        <v>91</v>
      </c>
      <c r="S725" t="s">
        <v>105</v>
      </c>
      <c r="T725" t="s">
        <v>114</v>
      </c>
    </row>
    <row r="726" spans="1:20">
      <c r="A726" t="s">
        <v>25</v>
      </c>
      <c r="B726" t="s">
        <v>32</v>
      </c>
      <c r="C726" t="s">
        <v>38</v>
      </c>
      <c r="E726" s="2">
        <v>46034.25153935186</v>
      </c>
      <c r="F726" s="2">
        <v>46034.2696412037</v>
      </c>
      <c r="G726" t="s">
        <v>50</v>
      </c>
      <c r="H726" t="s">
        <v>51</v>
      </c>
      <c r="I726">
        <v>6</v>
      </c>
      <c r="J726">
        <v>6</v>
      </c>
      <c r="K726" t="s">
        <v>53</v>
      </c>
      <c r="L726" t="s">
        <v>62</v>
      </c>
      <c r="M726" t="s">
        <v>71</v>
      </c>
      <c r="N726" t="s">
        <v>74</v>
      </c>
      <c r="O726">
        <v>1564</v>
      </c>
      <c r="P726" t="s">
        <v>79</v>
      </c>
      <c r="Q726" t="s">
        <v>85</v>
      </c>
      <c r="R726" t="s">
        <v>91</v>
      </c>
      <c r="S726" t="s">
        <v>105</v>
      </c>
      <c r="T726" t="s">
        <v>114</v>
      </c>
    </row>
    <row r="727" spans="1:20">
      <c r="A727" t="s">
        <v>20</v>
      </c>
      <c r="B727" t="s">
        <v>27</v>
      </c>
      <c r="C727" t="s">
        <v>38</v>
      </c>
      <c r="E727" s="2">
        <v>46034.25696759259</v>
      </c>
      <c r="F727" s="2">
        <v>46034.2599537037</v>
      </c>
      <c r="G727" t="s">
        <v>50</v>
      </c>
      <c r="H727" t="s">
        <v>51</v>
      </c>
      <c r="I727">
        <v>6</v>
      </c>
      <c r="J727">
        <v>6</v>
      </c>
      <c r="K727" t="s">
        <v>52</v>
      </c>
      <c r="L727" t="s">
        <v>66</v>
      </c>
      <c r="O727">
        <v>258</v>
      </c>
      <c r="P727" t="s">
        <v>79</v>
      </c>
      <c r="Q727" t="s">
        <v>85</v>
      </c>
      <c r="R727" t="s">
        <v>91</v>
      </c>
      <c r="S727" t="s">
        <v>105</v>
      </c>
      <c r="T727" t="s">
        <v>114</v>
      </c>
    </row>
    <row r="728" spans="1:20">
      <c r="A728" t="s">
        <v>20</v>
      </c>
      <c r="B728" t="s">
        <v>27</v>
      </c>
      <c r="C728" t="s">
        <v>39</v>
      </c>
      <c r="E728" s="2">
        <v>46034.2599537037</v>
      </c>
      <c r="F728" s="2">
        <v>46034.26163194444</v>
      </c>
      <c r="G728" t="s">
        <v>50</v>
      </c>
      <c r="H728" t="s">
        <v>51</v>
      </c>
      <c r="I728">
        <v>6</v>
      </c>
      <c r="J728">
        <v>6</v>
      </c>
      <c r="K728" t="s">
        <v>52</v>
      </c>
      <c r="L728" t="s">
        <v>66</v>
      </c>
      <c r="O728">
        <v>145</v>
      </c>
      <c r="P728" t="s">
        <v>81</v>
      </c>
      <c r="Q728" t="s">
        <v>85</v>
      </c>
      <c r="R728" t="s">
        <v>93</v>
      </c>
      <c r="S728" t="s">
        <v>107</v>
      </c>
      <c r="T728" t="s">
        <v>114</v>
      </c>
    </row>
    <row r="729" spans="1:20">
      <c r="A729" t="s">
        <v>22</v>
      </c>
      <c r="B729" t="s">
        <v>29</v>
      </c>
      <c r="C729" t="s">
        <v>35</v>
      </c>
      <c r="D729" t="s">
        <v>48</v>
      </c>
      <c r="E729" s="2">
        <v>46034.26091435185</v>
      </c>
      <c r="F729" s="2">
        <v>46034.26372685185</v>
      </c>
      <c r="G729" t="s">
        <v>50</v>
      </c>
      <c r="H729" t="s">
        <v>51</v>
      </c>
      <c r="I729">
        <v>6</v>
      </c>
      <c r="J729">
        <v>6</v>
      </c>
      <c r="K729" t="s">
        <v>54</v>
      </c>
      <c r="L729" t="s">
        <v>64</v>
      </c>
      <c r="M729" t="s">
        <v>69</v>
      </c>
      <c r="N729" t="s">
        <v>74</v>
      </c>
      <c r="O729">
        <v>243</v>
      </c>
      <c r="P729" t="s">
        <v>48</v>
      </c>
      <c r="R729" t="s">
        <v>98</v>
      </c>
      <c r="S729" t="s">
        <v>112</v>
      </c>
      <c r="T729" t="s">
        <v>114</v>
      </c>
    </row>
    <row r="730" spans="1:20">
      <c r="A730" t="s">
        <v>20</v>
      </c>
      <c r="B730" t="s">
        <v>27</v>
      </c>
      <c r="C730" t="s">
        <v>38</v>
      </c>
      <c r="E730" s="2">
        <v>46034.26163194444</v>
      </c>
      <c r="F730" s="2">
        <v>46034.26561342592</v>
      </c>
      <c r="G730" t="s">
        <v>50</v>
      </c>
      <c r="H730" t="s">
        <v>51</v>
      </c>
      <c r="I730">
        <v>6</v>
      </c>
      <c r="J730">
        <v>6</v>
      </c>
      <c r="K730" t="s">
        <v>52</v>
      </c>
      <c r="L730" t="s">
        <v>66</v>
      </c>
      <c r="O730">
        <v>344</v>
      </c>
      <c r="P730" t="s">
        <v>79</v>
      </c>
      <c r="Q730" t="s">
        <v>85</v>
      </c>
      <c r="R730" t="s">
        <v>91</v>
      </c>
      <c r="S730" t="s">
        <v>105</v>
      </c>
      <c r="T730" t="s">
        <v>114</v>
      </c>
    </row>
    <row r="731" spans="1:20">
      <c r="A731" t="s">
        <v>23</v>
      </c>
      <c r="B731" t="s">
        <v>30</v>
      </c>
      <c r="C731" t="s">
        <v>38</v>
      </c>
      <c r="E731" s="2">
        <v>46034.26170138889</v>
      </c>
      <c r="F731" s="2">
        <v>46034.26310185185</v>
      </c>
      <c r="G731" t="s">
        <v>50</v>
      </c>
      <c r="H731" t="s">
        <v>51</v>
      </c>
      <c r="I731">
        <v>6</v>
      </c>
      <c r="J731">
        <v>6</v>
      </c>
      <c r="K731" t="s">
        <v>55</v>
      </c>
      <c r="L731" t="s">
        <v>65</v>
      </c>
      <c r="M731" t="s">
        <v>69</v>
      </c>
      <c r="N731" t="s">
        <v>74</v>
      </c>
      <c r="O731">
        <v>121</v>
      </c>
      <c r="P731" t="s">
        <v>79</v>
      </c>
      <c r="Q731" t="s">
        <v>85</v>
      </c>
      <c r="R731" t="s">
        <v>91</v>
      </c>
      <c r="S731" t="s">
        <v>105</v>
      </c>
      <c r="T731" t="s">
        <v>114</v>
      </c>
    </row>
    <row r="732" spans="1:20">
      <c r="A732" t="s">
        <v>23</v>
      </c>
      <c r="B732" t="s">
        <v>30</v>
      </c>
      <c r="C732" t="s">
        <v>37</v>
      </c>
      <c r="E732" s="2">
        <v>46034.26310185185</v>
      </c>
      <c r="F732" s="2">
        <v>46034.26311342593</v>
      </c>
      <c r="G732" t="s">
        <v>50</v>
      </c>
      <c r="H732" t="s">
        <v>51</v>
      </c>
      <c r="I732">
        <v>6</v>
      </c>
      <c r="J732">
        <v>6</v>
      </c>
      <c r="K732" t="s">
        <v>55</v>
      </c>
      <c r="L732" t="s">
        <v>65</v>
      </c>
      <c r="M732" t="s">
        <v>69</v>
      </c>
      <c r="N732" t="s">
        <v>74</v>
      </c>
      <c r="O732">
        <v>1</v>
      </c>
      <c r="P732" t="s">
        <v>81</v>
      </c>
      <c r="Q732" t="s">
        <v>85</v>
      </c>
      <c r="R732" t="s">
        <v>93</v>
      </c>
      <c r="S732" t="s">
        <v>107</v>
      </c>
      <c r="T732" t="s">
        <v>114</v>
      </c>
    </row>
    <row r="733" spans="1:20">
      <c r="A733" t="s">
        <v>23</v>
      </c>
      <c r="B733" t="s">
        <v>30</v>
      </c>
      <c r="C733" t="s">
        <v>37</v>
      </c>
      <c r="E733" s="2">
        <v>46034.26311342593</v>
      </c>
      <c r="F733" s="2">
        <v>46034.26329861111</v>
      </c>
      <c r="G733" t="s">
        <v>50</v>
      </c>
      <c r="H733" t="s">
        <v>51</v>
      </c>
      <c r="I733">
        <v>6</v>
      </c>
      <c r="J733">
        <v>6</v>
      </c>
      <c r="K733" t="s">
        <v>55</v>
      </c>
      <c r="L733" t="s">
        <v>65</v>
      </c>
      <c r="M733" t="s">
        <v>69</v>
      </c>
      <c r="N733" t="s">
        <v>75</v>
      </c>
      <c r="O733">
        <v>16</v>
      </c>
      <c r="P733" t="s">
        <v>81</v>
      </c>
      <c r="Q733" t="s">
        <v>85</v>
      </c>
      <c r="R733" t="s">
        <v>93</v>
      </c>
      <c r="S733" t="s">
        <v>107</v>
      </c>
      <c r="T733" t="s">
        <v>114</v>
      </c>
    </row>
    <row r="734" spans="1:20">
      <c r="A734" t="s">
        <v>23</v>
      </c>
      <c r="B734" t="s">
        <v>30</v>
      </c>
      <c r="C734" t="s">
        <v>37</v>
      </c>
      <c r="E734" s="2">
        <v>46034.26329861111</v>
      </c>
      <c r="F734" s="2">
        <v>46034.26333333334</v>
      </c>
      <c r="G734" t="s">
        <v>50</v>
      </c>
      <c r="H734" t="s">
        <v>51</v>
      </c>
      <c r="I734">
        <v>6</v>
      </c>
      <c r="J734">
        <v>6</v>
      </c>
      <c r="K734" t="s">
        <v>55</v>
      </c>
      <c r="L734" t="s">
        <v>65</v>
      </c>
      <c r="M734" t="s">
        <v>69</v>
      </c>
      <c r="N734" t="s">
        <v>74</v>
      </c>
      <c r="O734">
        <v>3</v>
      </c>
      <c r="P734" t="s">
        <v>81</v>
      </c>
      <c r="Q734" t="s">
        <v>85</v>
      </c>
      <c r="R734" t="s">
        <v>93</v>
      </c>
      <c r="S734" t="s">
        <v>107</v>
      </c>
      <c r="T734" t="s">
        <v>114</v>
      </c>
    </row>
    <row r="735" spans="1:20">
      <c r="A735" t="s">
        <v>23</v>
      </c>
      <c r="B735" t="s">
        <v>30</v>
      </c>
      <c r="C735" t="s">
        <v>39</v>
      </c>
      <c r="E735" s="2">
        <v>46034.26333333334</v>
      </c>
      <c r="F735" s="2">
        <v>46034.26420138889</v>
      </c>
      <c r="G735" t="s">
        <v>50</v>
      </c>
      <c r="H735" t="s">
        <v>51</v>
      </c>
      <c r="I735">
        <v>6</v>
      </c>
      <c r="J735">
        <v>6</v>
      </c>
      <c r="K735" t="s">
        <v>55</v>
      </c>
      <c r="L735" t="s">
        <v>65</v>
      </c>
      <c r="M735" t="s">
        <v>69</v>
      </c>
      <c r="N735" t="s">
        <v>74</v>
      </c>
      <c r="O735">
        <v>75</v>
      </c>
      <c r="P735" t="s">
        <v>81</v>
      </c>
      <c r="Q735" t="s">
        <v>85</v>
      </c>
      <c r="R735" t="s">
        <v>93</v>
      </c>
      <c r="S735" t="s">
        <v>107</v>
      </c>
      <c r="T735" t="s">
        <v>114</v>
      </c>
    </row>
    <row r="736" spans="1:20">
      <c r="A736" t="s">
        <v>22</v>
      </c>
      <c r="B736" t="s">
        <v>29</v>
      </c>
      <c r="C736" t="s">
        <v>35</v>
      </c>
      <c r="D736" t="s">
        <v>48</v>
      </c>
      <c r="E736" s="2">
        <v>46034.26372685185</v>
      </c>
      <c r="F736" s="2">
        <v>46034.26413194444</v>
      </c>
      <c r="G736" t="s">
        <v>50</v>
      </c>
      <c r="H736" t="s">
        <v>51</v>
      </c>
      <c r="I736">
        <v>6</v>
      </c>
      <c r="J736">
        <v>6</v>
      </c>
      <c r="K736" t="s">
        <v>54</v>
      </c>
      <c r="L736" t="s">
        <v>64</v>
      </c>
      <c r="M736" t="s">
        <v>69</v>
      </c>
      <c r="N736" t="s">
        <v>74</v>
      </c>
      <c r="O736">
        <v>35</v>
      </c>
      <c r="P736" t="s">
        <v>48</v>
      </c>
      <c r="R736" t="s">
        <v>98</v>
      </c>
      <c r="S736" t="s">
        <v>112</v>
      </c>
      <c r="T736" t="s">
        <v>114</v>
      </c>
    </row>
    <row r="737" spans="1:20">
      <c r="A737" t="s">
        <v>22</v>
      </c>
      <c r="B737" t="s">
        <v>29</v>
      </c>
      <c r="C737" t="s">
        <v>35</v>
      </c>
      <c r="D737" t="s">
        <v>48</v>
      </c>
      <c r="E737" s="2">
        <v>46034.26413194444</v>
      </c>
      <c r="F737" s="2">
        <v>46034.26565972222</v>
      </c>
      <c r="G737" t="s">
        <v>50</v>
      </c>
      <c r="H737" t="s">
        <v>51</v>
      </c>
      <c r="I737">
        <v>6</v>
      </c>
      <c r="J737">
        <v>6</v>
      </c>
      <c r="K737" t="s">
        <v>54</v>
      </c>
      <c r="L737" t="s">
        <v>64</v>
      </c>
      <c r="M737" t="s">
        <v>69</v>
      </c>
      <c r="N737" t="s">
        <v>74</v>
      </c>
      <c r="O737">
        <v>132</v>
      </c>
      <c r="P737" t="s">
        <v>48</v>
      </c>
      <c r="R737" t="s">
        <v>98</v>
      </c>
      <c r="S737" t="s">
        <v>112</v>
      </c>
      <c r="T737" t="s">
        <v>114</v>
      </c>
    </row>
    <row r="738" spans="1:20">
      <c r="A738" t="s">
        <v>23</v>
      </c>
      <c r="B738" t="s">
        <v>30</v>
      </c>
      <c r="C738" t="s">
        <v>37</v>
      </c>
      <c r="E738" s="2">
        <v>46034.26420138889</v>
      </c>
      <c r="F738" s="2">
        <v>46034.26472222222</v>
      </c>
      <c r="G738" t="s">
        <v>50</v>
      </c>
      <c r="H738" t="s">
        <v>51</v>
      </c>
      <c r="I738">
        <v>6</v>
      </c>
      <c r="J738">
        <v>6</v>
      </c>
      <c r="K738" t="s">
        <v>55</v>
      </c>
      <c r="L738" t="s">
        <v>65</v>
      </c>
      <c r="M738" t="s">
        <v>69</v>
      </c>
      <c r="N738" t="s">
        <v>74</v>
      </c>
      <c r="O738">
        <v>45</v>
      </c>
      <c r="P738" t="s">
        <v>81</v>
      </c>
      <c r="Q738" t="s">
        <v>85</v>
      </c>
      <c r="R738" t="s">
        <v>93</v>
      </c>
      <c r="S738" t="s">
        <v>107</v>
      </c>
      <c r="T738" t="s">
        <v>114</v>
      </c>
    </row>
    <row r="739" spans="1:20">
      <c r="A739" t="s">
        <v>23</v>
      </c>
      <c r="B739" t="s">
        <v>30</v>
      </c>
      <c r="C739" t="s">
        <v>38</v>
      </c>
      <c r="E739" s="2">
        <v>46034.26472222222</v>
      </c>
      <c r="F739" s="2">
        <v>46034.26548611111</v>
      </c>
      <c r="G739" t="s">
        <v>50</v>
      </c>
      <c r="H739" t="s">
        <v>51</v>
      </c>
      <c r="I739">
        <v>6</v>
      </c>
      <c r="J739">
        <v>6</v>
      </c>
      <c r="K739" t="s">
        <v>55</v>
      </c>
      <c r="L739" t="s">
        <v>65</v>
      </c>
      <c r="M739" t="s">
        <v>69</v>
      </c>
      <c r="N739" t="s">
        <v>74</v>
      </c>
      <c r="O739">
        <v>66</v>
      </c>
      <c r="P739" t="s">
        <v>79</v>
      </c>
      <c r="Q739" t="s">
        <v>85</v>
      </c>
      <c r="R739" t="s">
        <v>91</v>
      </c>
      <c r="S739" t="s">
        <v>105</v>
      </c>
      <c r="T739" t="s">
        <v>114</v>
      </c>
    </row>
    <row r="740" spans="1:20">
      <c r="A740" t="s">
        <v>23</v>
      </c>
      <c r="B740" t="s">
        <v>30</v>
      </c>
      <c r="C740" t="s">
        <v>36</v>
      </c>
      <c r="E740" s="2">
        <v>46034.26548611111</v>
      </c>
      <c r="F740" s="2">
        <v>46034.28767361111</v>
      </c>
      <c r="G740" t="s">
        <v>50</v>
      </c>
      <c r="H740" t="s">
        <v>51</v>
      </c>
      <c r="I740">
        <v>6</v>
      </c>
      <c r="J740">
        <v>6</v>
      </c>
      <c r="K740" t="s">
        <v>55</v>
      </c>
      <c r="L740" t="s">
        <v>65</v>
      </c>
      <c r="M740" t="s">
        <v>69</v>
      </c>
      <c r="N740" t="s">
        <v>74</v>
      </c>
      <c r="O740">
        <v>1917</v>
      </c>
      <c r="P740" t="s">
        <v>79</v>
      </c>
      <c r="Q740" t="s">
        <v>85</v>
      </c>
      <c r="R740" t="s">
        <v>91</v>
      </c>
      <c r="S740" t="s">
        <v>105</v>
      </c>
      <c r="T740" t="s">
        <v>114</v>
      </c>
    </row>
    <row r="741" spans="1:20">
      <c r="A741" t="s">
        <v>20</v>
      </c>
      <c r="B741" t="s">
        <v>27</v>
      </c>
      <c r="C741" t="s">
        <v>36</v>
      </c>
      <c r="E741" s="2">
        <v>46034.26561342592</v>
      </c>
      <c r="F741" s="2">
        <v>46034.27675925926</v>
      </c>
      <c r="G741" t="s">
        <v>50</v>
      </c>
      <c r="H741" t="s">
        <v>51</v>
      </c>
      <c r="I741">
        <v>6</v>
      </c>
      <c r="J741">
        <v>6</v>
      </c>
      <c r="K741" t="s">
        <v>52</v>
      </c>
      <c r="L741" t="s">
        <v>66</v>
      </c>
      <c r="O741">
        <v>963</v>
      </c>
      <c r="P741" t="s">
        <v>79</v>
      </c>
      <c r="Q741" t="s">
        <v>85</v>
      </c>
      <c r="R741" t="s">
        <v>91</v>
      </c>
      <c r="S741" t="s">
        <v>105</v>
      </c>
      <c r="T741" t="s">
        <v>114</v>
      </c>
    </row>
    <row r="742" spans="1:20">
      <c r="A742" t="s">
        <v>22</v>
      </c>
      <c r="B742" t="s">
        <v>29</v>
      </c>
      <c r="C742" t="s">
        <v>35</v>
      </c>
      <c r="D742" t="s">
        <v>48</v>
      </c>
      <c r="E742" s="2">
        <v>46034.26565972222</v>
      </c>
      <c r="F742" s="2">
        <v>46034.26649305555</v>
      </c>
      <c r="G742" t="s">
        <v>50</v>
      </c>
      <c r="H742" t="s">
        <v>51</v>
      </c>
      <c r="I742">
        <v>6</v>
      </c>
      <c r="J742">
        <v>6</v>
      </c>
      <c r="K742" t="s">
        <v>54</v>
      </c>
      <c r="L742" t="s">
        <v>64</v>
      </c>
      <c r="M742" t="s">
        <v>69</v>
      </c>
      <c r="N742" t="s">
        <v>74</v>
      </c>
      <c r="O742">
        <v>72</v>
      </c>
      <c r="P742" t="s">
        <v>48</v>
      </c>
      <c r="R742" t="s">
        <v>98</v>
      </c>
      <c r="S742" t="s">
        <v>112</v>
      </c>
      <c r="T742" t="s">
        <v>114</v>
      </c>
    </row>
    <row r="743" spans="1:20">
      <c r="A743" t="s">
        <v>22</v>
      </c>
      <c r="B743" t="s">
        <v>29</v>
      </c>
      <c r="C743" t="s">
        <v>35</v>
      </c>
      <c r="D743" t="s">
        <v>48</v>
      </c>
      <c r="E743" s="2">
        <v>46034.26649305555</v>
      </c>
      <c r="F743" s="2">
        <v>46034.26662037037</v>
      </c>
      <c r="G743" t="s">
        <v>50</v>
      </c>
      <c r="H743" t="s">
        <v>51</v>
      </c>
      <c r="I743">
        <v>6</v>
      </c>
      <c r="J743">
        <v>6</v>
      </c>
      <c r="K743" t="s">
        <v>54</v>
      </c>
      <c r="L743" t="s">
        <v>64</v>
      </c>
      <c r="M743" t="s">
        <v>69</v>
      </c>
      <c r="N743" t="s">
        <v>74</v>
      </c>
      <c r="O743">
        <v>11</v>
      </c>
      <c r="P743" t="s">
        <v>48</v>
      </c>
      <c r="R743" t="s">
        <v>98</v>
      </c>
      <c r="S743" t="s">
        <v>112</v>
      </c>
      <c r="T743" t="s">
        <v>114</v>
      </c>
    </row>
    <row r="744" spans="1:20">
      <c r="A744" t="s">
        <v>22</v>
      </c>
      <c r="B744" t="s">
        <v>29</v>
      </c>
      <c r="C744" t="s">
        <v>37</v>
      </c>
      <c r="E744" s="2">
        <v>46034.26662037037</v>
      </c>
      <c r="F744" s="2">
        <v>46034.26755787037</v>
      </c>
      <c r="G744" t="s">
        <v>50</v>
      </c>
      <c r="H744" t="s">
        <v>51</v>
      </c>
      <c r="I744">
        <v>6</v>
      </c>
      <c r="J744">
        <v>6</v>
      </c>
      <c r="K744" t="s">
        <v>54</v>
      </c>
      <c r="L744" t="s">
        <v>64</v>
      </c>
      <c r="M744" t="s">
        <v>69</v>
      </c>
      <c r="N744" t="s">
        <v>74</v>
      </c>
      <c r="O744">
        <v>81</v>
      </c>
      <c r="P744" t="s">
        <v>81</v>
      </c>
      <c r="Q744" t="s">
        <v>85</v>
      </c>
      <c r="R744" t="s">
        <v>93</v>
      </c>
      <c r="S744" t="s">
        <v>107</v>
      </c>
      <c r="T744" t="s">
        <v>114</v>
      </c>
    </row>
    <row r="745" spans="1:20">
      <c r="A745" t="s">
        <v>22</v>
      </c>
      <c r="B745" t="s">
        <v>29</v>
      </c>
      <c r="C745" t="s">
        <v>38</v>
      </c>
      <c r="E745" s="2">
        <v>46034.26755787037</v>
      </c>
      <c r="F745" s="2">
        <v>46034.26809027778</v>
      </c>
      <c r="G745" t="s">
        <v>50</v>
      </c>
      <c r="H745" t="s">
        <v>51</v>
      </c>
      <c r="I745">
        <v>6</v>
      </c>
      <c r="J745">
        <v>6</v>
      </c>
      <c r="K745" t="s">
        <v>54</v>
      </c>
      <c r="L745" t="s">
        <v>64</v>
      </c>
      <c r="M745" t="s">
        <v>69</v>
      </c>
      <c r="N745" t="s">
        <v>74</v>
      </c>
      <c r="O745">
        <v>46</v>
      </c>
      <c r="P745" t="s">
        <v>79</v>
      </c>
      <c r="Q745" t="s">
        <v>85</v>
      </c>
      <c r="R745" t="s">
        <v>91</v>
      </c>
      <c r="S745" t="s">
        <v>105</v>
      </c>
      <c r="T745" t="s">
        <v>114</v>
      </c>
    </row>
    <row r="746" spans="1:20">
      <c r="A746" t="s">
        <v>22</v>
      </c>
      <c r="B746" t="s">
        <v>29</v>
      </c>
      <c r="C746" t="s">
        <v>36</v>
      </c>
      <c r="E746" s="2">
        <v>46034.26809027778</v>
      </c>
      <c r="F746" s="2">
        <v>46034.29166666666</v>
      </c>
      <c r="G746" t="s">
        <v>50</v>
      </c>
      <c r="H746" t="s">
        <v>51</v>
      </c>
      <c r="I746">
        <v>6</v>
      </c>
      <c r="J746">
        <v>6</v>
      </c>
      <c r="K746" t="s">
        <v>54</v>
      </c>
      <c r="L746" t="s">
        <v>64</v>
      </c>
      <c r="M746" t="s">
        <v>69</v>
      </c>
      <c r="N746" t="s">
        <v>74</v>
      </c>
      <c r="O746">
        <v>2037</v>
      </c>
      <c r="P746" t="s">
        <v>79</v>
      </c>
      <c r="Q746" t="s">
        <v>85</v>
      </c>
      <c r="R746" t="s">
        <v>91</v>
      </c>
      <c r="S746" t="s">
        <v>105</v>
      </c>
      <c r="T746" t="s">
        <v>114</v>
      </c>
    </row>
    <row r="747" spans="1:20">
      <c r="A747" t="s">
        <v>25</v>
      </c>
      <c r="B747" t="s">
        <v>32</v>
      </c>
      <c r="C747" t="s">
        <v>37</v>
      </c>
      <c r="E747" s="2">
        <v>46034.2696412037</v>
      </c>
      <c r="F747" s="2">
        <v>46034.26976851852</v>
      </c>
      <c r="G747" t="s">
        <v>50</v>
      </c>
      <c r="H747" t="s">
        <v>51</v>
      </c>
      <c r="I747">
        <v>6</v>
      </c>
      <c r="J747">
        <v>6</v>
      </c>
      <c r="K747" t="s">
        <v>53</v>
      </c>
      <c r="L747" t="s">
        <v>62</v>
      </c>
      <c r="M747" t="s">
        <v>69</v>
      </c>
      <c r="N747" t="s">
        <v>74</v>
      </c>
      <c r="O747">
        <v>11</v>
      </c>
      <c r="P747" t="s">
        <v>81</v>
      </c>
      <c r="Q747" t="s">
        <v>85</v>
      </c>
      <c r="R747" t="s">
        <v>93</v>
      </c>
      <c r="S747" t="s">
        <v>107</v>
      </c>
      <c r="T747" t="s">
        <v>114</v>
      </c>
    </row>
    <row r="748" spans="1:20">
      <c r="A748" t="s">
        <v>25</v>
      </c>
      <c r="B748" t="s">
        <v>32</v>
      </c>
      <c r="C748" t="s">
        <v>38</v>
      </c>
      <c r="E748" s="2">
        <v>46034.26976851852</v>
      </c>
      <c r="F748" s="2">
        <v>46034.28443287037</v>
      </c>
      <c r="G748" t="s">
        <v>50</v>
      </c>
      <c r="H748" t="s">
        <v>51</v>
      </c>
      <c r="I748">
        <v>6</v>
      </c>
      <c r="J748">
        <v>6</v>
      </c>
      <c r="K748" t="s">
        <v>53</v>
      </c>
      <c r="L748" t="s">
        <v>62</v>
      </c>
      <c r="M748" t="s">
        <v>69</v>
      </c>
      <c r="N748" t="s">
        <v>74</v>
      </c>
      <c r="O748">
        <v>1267</v>
      </c>
      <c r="P748" t="s">
        <v>79</v>
      </c>
      <c r="Q748" t="s">
        <v>85</v>
      </c>
      <c r="R748" t="s">
        <v>91</v>
      </c>
      <c r="S748" t="s">
        <v>105</v>
      </c>
      <c r="T748" t="s">
        <v>114</v>
      </c>
    </row>
    <row r="749" spans="1:20">
      <c r="A749" t="s">
        <v>24</v>
      </c>
      <c r="B749" t="s">
        <v>31</v>
      </c>
      <c r="C749" t="s">
        <v>38</v>
      </c>
      <c r="E749" s="2">
        <v>46034.27621527778</v>
      </c>
      <c r="F749" s="2">
        <v>46034.27851851852</v>
      </c>
      <c r="G749" t="s">
        <v>50</v>
      </c>
      <c r="H749" t="s">
        <v>51</v>
      </c>
      <c r="I749">
        <v>6</v>
      </c>
      <c r="J749">
        <v>6</v>
      </c>
      <c r="K749" t="s">
        <v>56</v>
      </c>
      <c r="L749" t="s">
        <v>67</v>
      </c>
      <c r="N749" t="s">
        <v>74</v>
      </c>
      <c r="O749">
        <v>199</v>
      </c>
      <c r="P749" t="s">
        <v>79</v>
      </c>
      <c r="Q749" t="s">
        <v>85</v>
      </c>
      <c r="R749" t="s">
        <v>91</v>
      </c>
      <c r="S749" t="s">
        <v>105</v>
      </c>
      <c r="T749" t="s">
        <v>114</v>
      </c>
    </row>
    <row r="750" spans="1:20">
      <c r="A750" t="s">
        <v>21</v>
      </c>
      <c r="B750" t="s">
        <v>28</v>
      </c>
      <c r="C750" t="s">
        <v>36</v>
      </c>
      <c r="E750" s="2">
        <v>46034.27671296296</v>
      </c>
      <c r="F750" s="2">
        <v>46034.27886574074</v>
      </c>
      <c r="G750" t="s">
        <v>50</v>
      </c>
      <c r="H750" t="s">
        <v>51</v>
      </c>
      <c r="I750">
        <v>6</v>
      </c>
      <c r="J750">
        <v>6</v>
      </c>
      <c r="K750" t="s">
        <v>54</v>
      </c>
      <c r="L750" t="s">
        <v>68</v>
      </c>
      <c r="M750" t="s">
        <v>70</v>
      </c>
      <c r="N750" t="s">
        <v>74</v>
      </c>
      <c r="O750">
        <v>186</v>
      </c>
      <c r="P750" t="s">
        <v>79</v>
      </c>
      <c r="Q750" t="s">
        <v>85</v>
      </c>
      <c r="R750" t="s">
        <v>91</v>
      </c>
      <c r="S750" t="s">
        <v>105</v>
      </c>
      <c r="T750" t="s">
        <v>114</v>
      </c>
    </row>
    <row r="751" spans="1:20">
      <c r="A751" t="s">
        <v>20</v>
      </c>
      <c r="B751" t="s">
        <v>27</v>
      </c>
      <c r="C751" t="s">
        <v>38</v>
      </c>
      <c r="E751" s="2">
        <v>46034.27675925926</v>
      </c>
      <c r="F751" s="2">
        <v>46034.27768518519</v>
      </c>
      <c r="G751" t="s">
        <v>50</v>
      </c>
      <c r="H751" t="s">
        <v>51</v>
      </c>
      <c r="I751">
        <v>6</v>
      </c>
      <c r="J751">
        <v>6</v>
      </c>
      <c r="K751" t="s">
        <v>52</v>
      </c>
      <c r="L751" t="s">
        <v>66</v>
      </c>
      <c r="O751">
        <v>80</v>
      </c>
      <c r="P751" t="s">
        <v>79</v>
      </c>
      <c r="Q751" t="s">
        <v>85</v>
      </c>
      <c r="R751" t="s">
        <v>91</v>
      </c>
      <c r="S751" t="s">
        <v>105</v>
      </c>
      <c r="T751" t="s">
        <v>114</v>
      </c>
    </row>
    <row r="752" spans="1:20">
      <c r="A752" t="s">
        <v>20</v>
      </c>
      <c r="B752" t="s">
        <v>27</v>
      </c>
      <c r="C752" t="s">
        <v>39</v>
      </c>
      <c r="E752" s="2">
        <v>46034.27768518519</v>
      </c>
      <c r="F752" s="2">
        <v>46034.27847222222</v>
      </c>
      <c r="G752" t="s">
        <v>50</v>
      </c>
      <c r="H752" t="s">
        <v>51</v>
      </c>
      <c r="I752">
        <v>6</v>
      </c>
      <c r="J752">
        <v>6</v>
      </c>
      <c r="K752" t="s">
        <v>52</v>
      </c>
      <c r="L752" t="s">
        <v>66</v>
      </c>
      <c r="O752">
        <v>68</v>
      </c>
      <c r="P752" t="s">
        <v>81</v>
      </c>
      <c r="Q752" t="s">
        <v>85</v>
      </c>
      <c r="R752" t="s">
        <v>93</v>
      </c>
      <c r="S752" t="s">
        <v>107</v>
      </c>
      <c r="T752" t="s">
        <v>114</v>
      </c>
    </row>
    <row r="753" spans="1:20">
      <c r="A753" t="s">
        <v>20</v>
      </c>
      <c r="B753" t="s">
        <v>27</v>
      </c>
      <c r="C753" t="s">
        <v>38</v>
      </c>
      <c r="E753" s="2">
        <v>46034.27847222222</v>
      </c>
      <c r="F753" s="2">
        <v>46034.27979166667</v>
      </c>
      <c r="G753" t="s">
        <v>50</v>
      </c>
      <c r="H753" t="s">
        <v>51</v>
      </c>
      <c r="I753">
        <v>6</v>
      </c>
      <c r="J753">
        <v>6</v>
      </c>
      <c r="K753" t="s">
        <v>52</v>
      </c>
      <c r="L753" t="s">
        <v>66</v>
      </c>
      <c r="O753">
        <v>114</v>
      </c>
      <c r="P753" t="s">
        <v>79</v>
      </c>
      <c r="Q753" t="s">
        <v>85</v>
      </c>
      <c r="R753" t="s">
        <v>91</v>
      </c>
      <c r="S753" t="s">
        <v>105</v>
      </c>
      <c r="T753" t="s">
        <v>114</v>
      </c>
    </row>
    <row r="754" spans="1:20">
      <c r="A754" t="s">
        <v>24</v>
      </c>
      <c r="B754" t="s">
        <v>31</v>
      </c>
      <c r="C754" t="s">
        <v>37</v>
      </c>
      <c r="E754" s="2">
        <v>46034.27851851852</v>
      </c>
      <c r="F754" s="2">
        <v>46034.27853009259</v>
      </c>
      <c r="G754" t="s">
        <v>50</v>
      </c>
      <c r="H754" t="s">
        <v>51</v>
      </c>
      <c r="I754">
        <v>6</v>
      </c>
      <c r="J754">
        <v>6</v>
      </c>
      <c r="K754" t="s">
        <v>56</v>
      </c>
      <c r="L754" t="s">
        <v>67</v>
      </c>
      <c r="N754" t="s">
        <v>74</v>
      </c>
      <c r="O754">
        <v>1</v>
      </c>
      <c r="P754" t="s">
        <v>81</v>
      </c>
      <c r="Q754" t="s">
        <v>85</v>
      </c>
      <c r="R754" t="s">
        <v>93</v>
      </c>
      <c r="S754" t="s">
        <v>107</v>
      </c>
      <c r="T754" t="s">
        <v>114</v>
      </c>
    </row>
    <row r="755" spans="1:20">
      <c r="A755" t="s">
        <v>24</v>
      </c>
      <c r="B755" t="s">
        <v>31</v>
      </c>
      <c r="C755" t="s">
        <v>37</v>
      </c>
      <c r="E755" s="2">
        <v>46034.27853009259</v>
      </c>
      <c r="F755" s="2">
        <v>46034.27895833334</v>
      </c>
      <c r="G755" t="s">
        <v>50</v>
      </c>
      <c r="H755" t="s">
        <v>51</v>
      </c>
      <c r="I755">
        <v>6</v>
      </c>
      <c r="J755">
        <v>6</v>
      </c>
      <c r="K755" t="s">
        <v>56</v>
      </c>
      <c r="L755" t="s">
        <v>67</v>
      </c>
      <c r="N755" t="s">
        <v>75</v>
      </c>
      <c r="O755">
        <v>37</v>
      </c>
      <c r="P755" t="s">
        <v>81</v>
      </c>
      <c r="Q755" t="s">
        <v>85</v>
      </c>
      <c r="R755" t="s">
        <v>93</v>
      </c>
      <c r="S755" t="s">
        <v>107</v>
      </c>
      <c r="T755" t="s">
        <v>114</v>
      </c>
    </row>
    <row r="756" spans="1:20">
      <c r="A756" t="s">
        <v>21</v>
      </c>
      <c r="B756" t="s">
        <v>28</v>
      </c>
      <c r="C756" t="s">
        <v>36</v>
      </c>
      <c r="E756" s="2">
        <v>46034.27886574074</v>
      </c>
      <c r="F756" s="2">
        <v>46034.27894675926</v>
      </c>
      <c r="G756" t="s">
        <v>50</v>
      </c>
      <c r="H756" t="s">
        <v>51</v>
      </c>
      <c r="I756">
        <v>6</v>
      </c>
      <c r="J756">
        <v>6</v>
      </c>
      <c r="K756" t="s">
        <v>54</v>
      </c>
      <c r="L756" t="s">
        <v>68</v>
      </c>
      <c r="M756" t="s">
        <v>71</v>
      </c>
      <c r="N756" t="s">
        <v>74</v>
      </c>
      <c r="O756">
        <v>7</v>
      </c>
      <c r="P756" t="s">
        <v>79</v>
      </c>
      <c r="Q756" t="s">
        <v>85</v>
      </c>
      <c r="R756" t="s">
        <v>91</v>
      </c>
      <c r="S756" t="s">
        <v>105</v>
      </c>
      <c r="T756" t="s">
        <v>114</v>
      </c>
    </row>
    <row r="757" spans="1:20">
      <c r="A757" t="s">
        <v>21</v>
      </c>
      <c r="B757" t="s">
        <v>28</v>
      </c>
      <c r="C757" t="s">
        <v>36</v>
      </c>
      <c r="E757" s="2">
        <v>46034.27894675926</v>
      </c>
      <c r="F757" s="2">
        <v>46034.28884259259</v>
      </c>
      <c r="G757" t="s">
        <v>50</v>
      </c>
      <c r="H757" t="s">
        <v>51</v>
      </c>
      <c r="I757">
        <v>6</v>
      </c>
      <c r="J757">
        <v>6</v>
      </c>
      <c r="K757" t="s">
        <v>54</v>
      </c>
      <c r="L757" t="s">
        <v>68</v>
      </c>
      <c r="M757" t="s">
        <v>71</v>
      </c>
      <c r="N757" t="s">
        <v>74</v>
      </c>
      <c r="O757">
        <v>855</v>
      </c>
      <c r="P757" t="s">
        <v>79</v>
      </c>
      <c r="Q757" t="s">
        <v>85</v>
      </c>
      <c r="R757" t="s">
        <v>91</v>
      </c>
      <c r="S757" t="s">
        <v>105</v>
      </c>
      <c r="T757" t="s">
        <v>114</v>
      </c>
    </row>
    <row r="758" spans="1:20">
      <c r="A758" t="s">
        <v>24</v>
      </c>
      <c r="B758" t="s">
        <v>31</v>
      </c>
      <c r="C758" t="s">
        <v>37</v>
      </c>
      <c r="E758" s="2">
        <v>46034.27895833334</v>
      </c>
      <c r="F758" s="2">
        <v>46034.27914351852</v>
      </c>
      <c r="G758" t="s">
        <v>50</v>
      </c>
      <c r="H758" t="s">
        <v>51</v>
      </c>
      <c r="I758">
        <v>6</v>
      </c>
      <c r="J758">
        <v>6</v>
      </c>
      <c r="K758" t="s">
        <v>56</v>
      </c>
      <c r="L758" t="s">
        <v>67</v>
      </c>
      <c r="N758" t="s">
        <v>74</v>
      </c>
      <c r="O758">
        <v>16</v>
      </c>
      <c r="P758" t="s">
        <v>81</v>
      </c>
      <c r="Q758" t="s">
        <v>85</v>
      </c>
      <c r="R758" t="s">
        <v>93</v>
      </c>
      <c r="S758" t="s">
        <v>107</v>
      </c>
      <c r="T758" t="s">
        <v>114</v>
      </c>
    </row>
    <row r="759" spans="1:20">
      <c r="A759" t="s">
        <v>24</v>
      </c>
      <c r="B759" t="s">
        <v>31</v>
      </c>
      <c r="C759" t="s">
        <v>39</v>
      </c>
      <c r="E759" s="2">
        <v>46034.27914351852</v>
      </c>
      <c r="F759" s="2">
        <v>46034.2800462963</v>
      </c>
      <c r="G759" t="s">
        <v>50</v>
      </c>
      <c r="H759" t="s">
        <v>51</v>
      </c>
      <c r="I759">
        <v>6</v>
      </c>
      <c r="J759">
        <v>6</v>
      </c>
      <c r="K759" t="s">
        <v>56</v>
      </c>
      <c r="L759" t="s">
        <v>67</v>
      </c>
      <c r="N759" t="s">
        <v>74</v>
      </c>
      <c r="O759">
        <v>78</v>
      </c>
      <c r="P759" t="s">
        <v>81</v>
      </c>
      <c r="Q759" t="s">
        <v>85</v>
      </c>
      <c r="R759" t="s">
        <v>93</v>
      </c>
      <c r="S759" t="s">
        <v>107</v>
      </c>
      <c r="T759" t="s">
        <v>114</v>
      </c>
    </row>
    <row r="760" spans="1:20">
      <c r="A760" t="s">
        <v>20</v>
      </c>
      <c r="B760" t="s">
        <v>27</v>
      </c>
      <c r="C760" t="s">
        <v>36</v>
      </c>
      <c r="E760" s="2">
        <v>46034.27979166667</v>
      </c>
      <c r="F760" s="2">
        <v>46034.29005787037</v>
      </c>
      <c r="G760" t="s">
        <v>50</v>
      </c>
      <c r="H760" t="s">
        <v>51</v>
      </c>
      <c r="I760">
        <v>6</v>
      </c>
      <c r="J760">
        <v>6</v>
      </c>
      <c r="K760" t="s">
        <v>52</v>
      </c>
      <c r="L760" t="s">
        <v>66</v>
      </c>
      <c r="O760">
        <v>887</v>
      </c>
      <c r="P760" t="s">
        <v>79</v>
      </c>
      <c r="Q760" t="s">
        <v>85</v>
      </c>
      <c r="R760" t="s">
        <v>91</v>
      </c>
      <c r="S760" t="s">
        <v>105</v>
      </c>
      <c r="T760" t="s">
        <v>114</v>
      </c>
    </row>
    <row r="761" spans="1:20">
      <c r="A761" t="s">
        <v>24</v>
      </c>
      <c r="B761" t="s">
        <v>31</v>
      </c>
      <c r="C761" t="s">
        <v>37</v>
      </c>
      <c r="E761" s="2">
        <v>46034.2800462963</v>
      </c>
      <c r="F761" s="2">
        <v>46034.28013888889</v>
      </c>
      <c r="G761" t="s">
        <v>50</v>
      </c>
      <c r="H761" t="s">
        <v>51</v>
      </c>
      <c r="I761">
        <v>6</v>
      </c>
      <c r="J761">
        <v>6</v>
      </c>
      <c r="K761" t="s">
        <v>56</v>
      </c>
      <c r="L761" t="s">
        <v>67</v>
      </c>
      <c r="N761" t="s">
        <v>74</v>
      </c>
      <c r="O761">
        <v>8</v>
      </c>
      <c r="P761" t="s">
        <v>80</v>
      </c>
      <c r="Q761" t="s">
        <v>84</v>
      </c>
      <c r="R761" t="s">
        <v>92</v>
      </c>
      <c r="S761" t="s">
        <v>106</v>
      </c>
      <c r="T761" t="s">
        <v>115</v>
      </c>
    </row>
    <row r="762" spans="1:20">
      <c r="A762" t="s">
        <v>24</v>
      </c>
      <c r="B762" t="s">
        <v>31</v>
      </c>
      <c r="C762" t="s">
        <v>37</v>
      </c>
      <c r="E762" s="2">
        <v>46034.28013888889</v>
      </c>
      <c r="F762" s="2">
        <v>46034.28030092592</v>
      </c>
      <c r="G762" t="s">
        <v>50</v>
      </c>
      <c r="H762" t="s">
        <v>51</v>
      </c>
      <c r="I762">
        <v>6</v>
      </c>
      <c r="J762">
        <v>6</v>
      </c>
      <c r="K762" t="s">
        <v>56</v>
      </c>
      <c r="L762" t="s">
        <v>67</v>
      </c>
      <c r="N762" t="s">
        <v>76</v>
      </c>
      <c r="O762">
        <v>14</v>
      </c>
      <c r="P762" t="s">
        <v>80</v>
      </c>
      <c r="Q762" t="s">
        <v>84</v>
      </c>
      <c r="R762" t="s">
        <v>92</v>
      </c>
      <c r="S762" t="s">
        <v>106</v>
      </c>
      <c r="T762" t="s">
        <v>115</v>
      </c>
    </row>
    <row r="763" spans="1:20">
      <c r="A763" t="s">
        <v>24</v>
      </c>
      <c r="B763" t="s">
        <v>31</v>
      </c>
      <c r="C763" t="s">
        <v>37</v>
      </c>
      <c r="E763" s="2">
        <v>46034.28030092592</v>
      </c>
      <c r="F763" s="2">
        <v>46034.28498842593</v>
      </c>
      <c r="G763" t="s">
        <v>50</v>
      </c>
      <c r="H763" t="s">
        <v>51</v>
      </c>
      <c r="I763">
        <v>6</v>
      </c>
      <c r="J763">
        <v>6</v>
      </c>
      <c r="K763" t="s">
        <v>56</v>
      </c>
      <c r="L763" t="s">
        <v>67</v>
      </c>
      <c r="N763" t="s">
        <v>74</v>
      </c>
      <c r="O763">
        <v>405</v>
      </c>
      <c r="P763" t="s">
        <v>80</v>
      </c>
      <c r="Q763" t="s">
        <v>84</v>
      </c>
      <c r="R763" t="s">
        <v>92</v>
      </c>
      <c r="S763" t="s">
        <v>106</v>
      </c>
      <c r="T763" t="s">
        <v>115</v>
      </c>
    </row>
    <row r="764" spans="1:20">
      <c r="A764" t="s">
        <v>26</v>
      </c>
      <c r="B764" t="s">
        <v>33</v>
      </c>
      <c r="C764" t="s">
        <v>37</v>
      </c>
      <c r="E764" s="2">
        <v>46034.28057870371</v>
      </c>
      <c r="F764" s="2">
        <v>46034.28059027778</v>
      </c>
      <c r="G764" t="s">
        <v>50</v>
      </c>
      <c r="H764" t="s">
        <v>51</v>
      </c>
      <c r="I764">
        <v>6</v>
      </c>
      <c r="J764">
        <v>6</v>
      </c>
      <c r="L764" t="s">
        <v>63</v>
      </c>
      <c r="M764" t="s">
        <v>71</v>
      </c>
      <c r="N764" t="s">
        <v>74</v>
      </c>
      <c r="O764">
        <v>1</v>
      </c>
      <c r="P764" t="s">
        <v>81</v>
      </c>
      <c r="Q764" t="s">
        <v>85</v>
      </c>
      <c r="R764" t="s">
        <v>93</v>
      </c>
      <c r="S764" t="s">
        <v>107</v>
      </c>
      <c r="T764" t="s">
        <v>114</v>
      </c>
    </row>
    <row r="765" spans="1:20">
      <c r="A765" t="s">
        <v>26</v>
      </c>
      <c r="B765" t="s">
        <v>33</v>
      </c>
      <c r="C765" t="s">
        <v>37</v>
      </c>
      <c r="E765" s="2">
        <v>46034.28059027778</v>
      </c>
      <c r="F765" s="2">
        <v>46034.28091435185</v>
      </c>
      <c r="G765" t="s">
        <v>50</v>
      </c>
      <c r="H765" t="s">
        <v>51</v>
      </c>
      <c r="I765">
        <v>6</v>
      </c>
      <c r="J765">
        <v>6</v>
      </c>
      <c r="L765" t="s">
        <v>63</v>
      </c>
      <c r="M765" t="s">
        <v>73</v>
      </c>
      <c r="N765" t="s">
        <v>75</v>
      </c>
      <c r="O765">
        <v>28</v>
      </c>
      <c r="P765" t="s">
        <v>81</v>
      </c>
      <c r="Q765" t="s">
        <v>85</v>
      </c>
      <c r="R765" t="s">
        <v>93</v>
      </c>
      <c r="S765" t="s">
        <v>107</v>
      </c>
      <c r="T765" t="s">
        <v>114</v>
      </c>
    </row>
    <row r="766" spans="1:20">
      <c r="A766" t="s">
        <v>26</v>
      </c>
      <c r="B766" t="s">
        <v>33</v>
      </c>
      <c r="C766" t="s">
        <v>37</v>
      </c>
      <c r="E766" s="2">
        <v>46034.28091435185</v>
      </c>
      <c r="F766" s="2">
        <v>46034.28113425926</v>
      </c>
      <c r="G766" t="s">
        <v>50</v>
      </c>
      <c r="H766" t="s">
        <v>51</v>
      </c>
      <c r="I766">
        <v>6</v>
      </c>
      <c r="J766">
        <v>6</v>
      </c>
      <c r="L766" t="s">
        <v>63</v>
      </c>
      <c r="M766" t="s">
        <v>71</v>
      </c>
      <c r="N766" t="s">
        <v>74</v>
      </c>
      <c r="O766">
        <v>19</v>
      </c>
      <c r="P766" t="s">
        <v>81</v>
      </c>
      <c r="Q766" t="s">
        <v>85</v>
      </c>
      <c r="R766" t="s">
        <v>93</v>
      </c>
      <c r="S766" t="s">
        <v>107</v>
      </c>
      <c r="T766" t="s">
        <v>114</v>
      </c>
    </row>
    <row r="767" spans="1:20">
      <c r="A767" t="s">
        <v>26</v>
      </c>
      <c r="B767" t="s">
        <v>33</v>
      </c>
      <c r="C767" t="s">
        <v>39</v>
      </c>
      <c r="E767" s="2">
        <v>46034.28113425926</v>
      </c>
      <c r="F767" s="2">
        <v>46034.28309027778</v>
      </c>
      <c r="G767" t="s">
        <v>50</v>
      </c>
      <c r="H767" t="s">
        <v>51</v>
      </c>
      <c r="I767">
        <v>6</v>
      </c>
      <c r="J767">
        <v>6</v>
      </c>
      <c r="L767" t="s">
        <v>63</v>
      </c>
      <c r="M767" t="s">
        <v>71</v>
      </c>
      <c r="N767" t="s">
        <v>74</v>
      </c>
      <c r="O767">
        <v>169</v>
      </c>
      <c r="P767" t="s">
        <v>81</v>
      </c>
      <c r="Q767" t="s">
        <v>85</v>
      </c>
      <c r="R767" t="s">
        <v>93</v>
      </c>
      <c r="S767" t="s">
        <v>107</v>
      </c>
      <c r="T767" t="s">
        <v>114</v>
      </c>
    </row>
    <row r="768" spans="1:20">
      <c r="A768" t="s">
        <v>26</v>
      </c>
      <c r="B768" t="s">
        <v>33</v>
      </c>
      <c r="C768" t="s">
        <v>37</v>
      </c>
      <c r="E768" s="2">
        <v>46034.28309027778</v>
      </c>
      <c r="F768" s="2">
        <v>46034.28310185186</v>
      </c>
      <c r="G768" t="s">
        <v>50</v>
      </c>
      <c r="H768" t="s">
        <v>51</v>
      </c>
      <c r="I768">
        <v>6</v>
      </c>
      <c r="J768">
        <v>6</v>
      </c>
      <c r="L768" t="s">
        <v>63</v>
      </c>
      <c r="M768" t="s">
        <v>71</v>
      </c>
      <c r="N768" t="s">
        <v>74</v>
      </c>
      <c r="O768">
        <v>1</v>
      </c>
      <c r="P768" t="s">
        <v>81</v>
      </c>
      <c r="Q768" t="s">
        <v>85</v>
      </c>
      <c r="R768" t="s">
        <v>93</v>
      </c>
      <c r="S768" t="s">
        <v>107</v>
      </c>
      <c r="T768" t="s">
        <v>114</v>
      </c>
    </row>
    <row r="769" spans="1:20">
      <c r="A769" t="s">
        <v>26</v>
      </c>
      <c r="B769" t="s">
        <v>33</v>
      </c>
      <c r="C769" t="s">
        <v>37</v>
      </c>
      <c r="E769" s="2">
        <v>46034.28310185186</v>
      </c>
      <c r="F769" s="2">
        <v>46034.28364583333</v>
      </c>
      <c r="G769" t="s">
        <v>50</v>
      </c>
      <c r="H769" t="s">
        <v>51</v>
      </c>
      <c r="I769">
        <v>6</v>
      </c>
      <c r="J769">
        <v>6</v>
      </c>
      <c r="L769" t="s">
        <v>63</v>
      </c>
      <c r="M769" t="s">
        <v>73</v>
      </c>
      <c r="N769" t="s">
        <v>76</v>
      </c>
      <c r="O769">
        <v>47</v>
      </c>
      <c r="P769" t="s">
        <v>81</v>
      </c>
      <c r="Q769" t="s">
        <v>85</v>
      </c>
      <c r="R769" t="s">
        <v>93</v>
      </c>
      <c r="S769" t="s">
        <v>107</v>
      </c>
      <c r="T769" t="s">
        <v>114</v>
      </c>
    </row>
    <row r="770" spans="1:20">
      <c r="A770" t="s">
        <v>26</v>
      </c>
      <c r="B770" t="s">
        <v>33</v>
      </c>
      <c r="C770" t="s">
        <v>37</v>
      </c>
      <c r="E770" s="2">
        <v>46034.28364583333</v>
      </c>
      <c r="F770" s="2">
        <v>46034.28383101852</v>
      </c>
      <c r="G770" t="s">
        <v>50</v>
      </c>
      <c r="H770" t="s">
        <v>51</v>
      </c>
      <c r="I770">
        <v>6</v>
      </c>
      <c r="J770">
        <v>6</v>
      </c>
      <c r="L770" t="s">
        <v>63</v>
      </c>
      <c r="M770" t="s">
        <v>71</v>
      </c>
      <c r="N770" t="s">
        <v>74</v>
      </c>
      <c r="O770">
        <v>16</v>
      </c>
      <c r="P770" t="s">
        <v>81</v>
      </c>
      <c r="Q770" t="s">
        <v>85</v>
      </c>
      <c r="R770" t="s">
        <v>93</v>
      </c>
      <c r="S770" t="s">
        <v>107</v>
      </c>
      <c r="T770" t="s">
        <v>114</v>
      </c>
    </row>
    <row r="771" spans="1:20">
      <c r="A771" t="s">
        <v>26</v>
      </c>
      <c r="B771" t="s">
        <v>33</v>
      </c>
      <c r="C771" t="s">
        <v>38</v>
      </c>
      <c r="E771" s="2">
        <v>46034.28383101852</v>
      </c>
      <c r="F771" s="2">
        <v>46034.29166666666</v>
      </c>
      <c r="G771" t="s">
        <v>50</v>
      </c>
      <c r="H771" t="s">
        <v>51</v>
      </c>
      <c r="I771">
        <v>6</v>
      </c>
      <c r="J771">
        <v>6</v>
      </c>
      <c r="L771" t="s">
        <v>63</v>
      </c>
      <c r="M771" t="s">
        <v>71</v>
      </c>
      <c r="N771" t="s">
        <v>74</v>
      </c>
      <c r="O771">
        <v>677</v>
      </c>
      <c r="P771" t="s">
        <v>79</v>
      </c>
      <c r="Q771" t="s">
        <v>85</v>
      </c>
      <c r="R771" t="s">
        <v>91</v>
      </c>
      <c r="S771" t="s">
        <v>105</v>
      </c>
      <c r="T771" t="s">
        <v>114</v>
      </c>
    </row>
    <row r="772" spans="1:20">
      <c r="A772" t="s">
        <v>25</v>
      </c>
      <c r="B772" t="s">
        <v>32</v>
      </c>
      <c r="C772" t="s">
        <v>37</v>
      </c>
      <c r="E772" s="2">
        <v>46034.28443287037</v>
      </c>
      <c r="F772" s="2">
        <v>46034.2844675926</v>
      </c>
      <c r="G772" t="s">
        <v>50</v>
      </c>
      <c r="H772" t="s">
        <v>51</v>
      </c>
      <c r="I772">
        <v>6</v>
      </c>
      <c r="J772">
        <v>6</v>
      </c>
      <c r="K772" t="s">
        <v>53</v>
      </c>
      <c r="L772" t="s">
        <v>62</v>
      </c>
      <c r="M772" t="s">
        <v>69</v>
      </c>
      <c r="N772" t="s">
        <v>74</v>
      </c>
      <c r="O772">
        <v>3</v>
      </c>
      <c r="P772" t="s">
        <v>81</v>
      </c>
      <c r="Q772" t="s">
        <v>85</v>
      </c>
      <c r="R772" t="s">
        <v>93</v>
      </c>
      <c r="S772" t="s">
        <v>107</v>
      </c>
      <c r="T772" t="s">
        <v>114</v>
      </c>
    </row>
    <row r="773" spans="1:20">
      <c r="A773" t="s">
        <v>25</v>
      </c>
      <c r="B773" t="s">
        <v>32</v>
      </c>
      <c r="C773" t="s">
        <v>37</v>
      </c>
      <c r="E773" s="2">
        <v>46034.2844675926</v>
      </c>
      <c r="F773" s="2">
        <v>46034.28486111111</v>
      </c>
      <c r="G773" t="s">
        <v>50</v>
      </c>
      <c r="H773" t="s">
        <v>51</v>
      </c>
      <c r="I773">
        <v>6</v>
      </c>
      <c r="J773">
        <v>6</v>
      </c>
      <c r="K773" t="s">
        <v>53</v>
      </c>
      <c r="L773" t="s">
        <v>62</v>
      </c>
      <c r="M773" t="s">
        <v>69</v>
      </c>
      <c r="N773" t="s">
        <v>75</v>
      </c>
      <c r="O773">
        <v>34</v>
      </c>
      <c r="P773" t="s">
        <v>81</v>
      </c>
      <c r="Q773" t="s">
        <v>85</v>
      </c>
      <c r="R773" t="s">
        <v>93</v>
      </c>
      <c r="S773" t="s">
        <v>107</v>
      </c>
      <c r="T773" t="s">
        <v>114</v>
      </c>
    </row>
    <row r="774" spans="1:20">
      <c r="A774" t="s">
        <v>25</v>
      </c>
      <c r="B774" t="s">
        <v>32</v>
      </c>
      <c r="C774" t="s">
        <v>37</v>
      </c>
      <c r="E774" s="2">
        <v>46034.28486111111</v>
      </c>
      <c r="F774" s="2">
        <v>46034.28497685185</v>
      </c>
      <c r="G774" t="s">
        <v>50</v>
      </c>
      <c r="H774" t="s">
        <v>51</v>
      </c>
      <c r="I774">
        <v>6</v>
      </c>
      <c r="J774">
        <v>6</v>
      </c>
      <c r="K774" t="s">
        <v>53</v>
      </c>
      <c r="L774" t="s">
        <v>62</v>
      </c>
      <c r="M774" t="s">
        <v>69</v>
      </c>
      <c r="N774" t="s">
        <v>74</v>
      </c>
      <c r="O774">
        <v>10</v>
      </c>
      <c r="P774" t="s">
        <v>81</v>
      </c>
      <c r="Q774" t="s">
        <v>85</v>
      </c>
      <c r="R774" t="s">
        <v>93</v>
      </c>
      <c r="S774" t="s">
        <v>107</v>
      </c>
      <c r="T774" t="s">
        <v>114</v>
      </c>
    </row>
    <row r="775" spans="1:20">
      <c r="A775" t="s">
        <v>25</v>
      </c>
      <c r="B775" t="s">
        <v>32</v>
      </c>
      <c r="C775" t="s">
        <v>39</v>
      </c>
      <c r="E775" s="2">
        <v>46034.28497685185</v>
      </c>
      <c r="F775" s="2">
        <v>46034.28726851852</v>
      </c>
      <c r="G775" t="s">
        <v>50</v>
      </c>
      <c r="H775" t="s">
        <v>51</v>
      </c>
      <c r="I775">
        <v>6</v>
      </c>
      <c r="J775">
        <v>6</v>
      </c>
      <c r="K775" t="s">
        <v>53</v>
      </c>
      <c r="L775" t="s">
        <v>62</v>
      </c>
      <c r="M775" t="s">
        <v>69</v>
      </c>
      <c r="N775" t="s">
        <v>74</v>
      </c>
      <c r="O775">
        <v>198</v>
      </c>
      <c r="P775" t="s">
        <v>81</v>
      </c>
      <c r="Q775" t="s">
        <v>85</v>
      </c>
      <c r="R775" t="s">
        <v>93</v>
      </c>
      <c r="S775" t="s">
        <v>107</v>
      </c>
      <c r="T775" t="s">
        <v>114</v>
      </c>
    </row>
    <row r="776" spans="1:20">
      <c r="A776" t="s">
        <v>24</v>
      </c>
      <c r="B776" t="s">
        <v>31</v>
      </c>
      <c r="C776" t="s">
        <v>38</v>
      </c>
      <c r="E776" s="2">
        <v>46034.28498842593</v>
      </c>
      <c r="F776" s="2">
        <v>46034.28513888889</v>
      </c>
      <c r="G776" t="s">
        <v>50</v>
      </c>
      <c r="H776" t="s">
        <v>51</v>
      </c>
      <c r="I776">
        <v>6</v>
      </c>
      <c r="J776">
        <v>6</v>
      </c>
      <c r="K776" t="s">
        <v>56</v>
      </c>
      <c r="L776" t="s">
        <v>67</v>
      </c>
      <c r="N776" t="s">
        <v>74</v>
      </c>
      <c r="O776">
        <v>13</v>
      </c>
      <c r="P776" t="s">
        <v>79</v>
      </c>
      <c r="Q776" t="s">
        <v>85</v>
      </c>
      <c r="R776" t="s">
        <v>91</v>
      </c>
      <c r="S776" t="s">
        <v>105</v>
      </c>
      <c r="T776" t="s">
        <v>114</v>
      </c>
    </row>
    <row r="777" spans="1:20">
      <c r="A777" t="s">
        <v>24</v>
      </c>
      <c r="B777" t="s">
        <v>31</v>
      </c>
      <c r="C777" t="s">
        <v>36</v>
      </c>
      <c r="E777" s="2">
        <v>46034.28513888889</v>
      </c>
      <c r="F777" s="2">
        <v>46034.29166666666</v>
      </c>
      <c r="G777" t="s">
        <v>50</v>
      </c>
      <c r="H777" t="s">
        <v>51</v>
      </c>
      <c r="I777">
        <v>6</v>
      </c>
      <c r="J777">
        <v>6</v>
      </c>
      <c r="K777" t="s">
        <v>56</v>
      </c>
      <c r="L777" t="s">
        <v>67</v>
      </c>
      <c r="N777" t="s">
        <v>74</v>
      </c>
      <c r="O777">
        <v>564</v>
      </c>
      <c r="P777" t="s">
        <v>79</v>
      </c>
      <c r="Q777" t="s">
        <v>85</v>
      </c>
      <c r="R777" t="s">
        <v>91</v>
      </c>
      <c r="S777" t="s">
        <v>105</v>
      </c>
      <c r="T777" t="s">
        <v>114</v>
      </c>
    </row>
    <row r="778" spans="1:20">
      <c r="A778" t="s">
        <v>25</v>
      </c>
      <c r="B778" t="s">
        <v>32</v>
      </c>
      <c r="C778" t="s">
        <v>37</v>
      </c>
      <c r="E778" s="2">
        <v>46034.28726851852</v>
      </c>
      <c r="F778" s="2">
        <v>46034.28788194444</v>
      </c>
      <c r="G778" t="s">
        <v>50</v>
      </c>
      <c r="H778" t="s">
        <v>51</v>
      </c>
      <c r="I778">
        <v>6</v>
      </c>
      <c r="J778">
        <v>6</v>
      </c>
      <c r="K778" t="s">
        <v>53</v>
      </c>
      <c r="L778" t="s">
        <v>62</v>
      </c>
      <c r="M778" t="s">
        <v>69</v>
      </c>
      <c r="N778" t="s">
        <v>76</v>
      </c>
      <c r="O778">
        <v>53</v>
      </c>
      <c r="P778" t="s">
        <v>81</v>
      </c>
      <c r="Q778" t="s">
        <v>85</v>
      </c>
      <c r="R778" t="s">
        <v>93</v>
      </c>
      <c r="S778" t="s">
        <v>107</v>
      </c>
      <c r="T778" t="s">
        <v>114</v>
      </c>
    </row>
    <row r="779" spans="1:20">
      <c r="A779" t="s">
        <v>23</v>
      </c>
      <c r="B779" t="s">
        <v>30</v>
      </c>
      <c r="C779" t="s">
        <v>38</v>
      </c>
      <c r="E779" s="2">
        <v>46034.28767361111</v>
      </c>
      <c r="F779" s="2">
        <v>46034.28903935185</v>
      </c>
      <c r="G779" t="s">
        <v>50</v>
      </c>
      <c r="H779" t="s">
        <v>51</v>
      </c>
      <c r="I779">
        <v>6</v>
      </c>
      <c r="J779">
        <v>6</v>
      </c>
      <c r="K779" t="s">
        <v>55</v>
      </c>
      <c r="L779" t="s">
        <v>65</v>
      </c>
      <c r="M779" t="s">
        <v>69</v>
      </c>
      <c r="N779" t="s">
        <v>74</v>
      </c>
      <c r="O779">
        <v>118</v>
      </c>
      <c r="P779" t="s">
        <v>79</v>
      </c>
      <c r="Q779" t="s">
        <v>85</v>
      </c>
      <c r="R779" t="s">
        <v>91</v>
      </c>
      <c r="S779" t="s">
        <v>105</v>
      </c>
      <c r="T779" t="s">
        <v>114</v>
      </c>
    </row>
    <row r="780" spans="1:20">
      <c r="A780" t="s">
        <v>25</v>
      </c>
      <c r="B780" t="s">
        <v>32</v>
      </c>
      <c r="C780" t="s">
        <v>37</v>
      </c>
      <c r="E780" s="2">
        <v>46034.28788194444</v>
      </c>
      <c r="F780" s="2">
        <v>46034.28818287037</v>
      </c>
      <c r="G780" t="s">
        <v>50</v>
      </c>
      <c r="H780" t="s">
        <v>51</v>
      </c>
      <c r="I780">
        <v>6</v>
      </c>
      <c r="J780">
        <v>6</v>
      </c>
      <c r="K780" t="s">
        <v>53</v>
      </c>
      <c r="L780" t="s">
        <v>62</v>
      </c>
      <c r="M780" t="s">
        <v>69</v>
      </c>
      <c r="N780" t="s">
        <v>74</v>
      </c>
      <c r="O780">
        <v>26</v>
      </c>
      <c r="P780" t="s">
        <v>81</v>
      </c>
      <c r="Q780" t="s">
        <v>85</v>
      </c>
      <c r="R780" t="s">
        <v>93</v>
      </c>
      <c r="S780" t="s">
        <v>107</v>
      </c>
      <c r="T780" t="s">
        <v>114</v>
      </c>
    </row>
    <row r="781" spans="1:20">
      <c r="A781" t="s">
        <v>25</v>
      </c>
      <c r="B781" t="s">
        <v>32</v>
      </c>
      <c r="C781" t="s">
        <v>38</v>
      </c>
      <c r="E781" s="2">
        <v>46034.28818287037</v>
      </c>
      <c r="F781" s="2">
        <v>46034.29103009259</v>
      </c>
      <c r="G781" t="s">
        <v>50</v>
      </c>
      <c r="H781" t="s">
        <v>51</v>
      </c>
      <c r="I781">
        <v>6</v>
      </c>
      <c r="J781">
        <v>6</v>
      </c>
      <c r="K781" t="s">
        <v>53</v>
      </c>
      <c r="L781" t="s">
        <v>62</v>
      </c>
      <c r="M781" t="s">
        <v>69</v>
      </c>
      <c r="N781" t="s">
        <v>74</v>
      </c>
      <c r="O781">
        <v>246</v>
      </c>
      <c r="P781" t="s">
        <v>79</v>
      </c>
      <c r="Q781" t="s">
        <v>85</v>
      </c>
      <c r="R781" t="s">
        <v>91</v>
      </c>
      <c r="S781" t="s">
        <v>105</v>
      </c>
      <c r="T781" t="s">
        <v>114</v>
      </c>
    </row>
    <row r="782" spans="1:20">
      <c r="A782" t="s">
        <v>21</v>
      </c>
      <c r="B782" t="s">
        <v>28</v>
      </c>
      <c r="C782" t="s">
        <v>38</v>
      </c>
      <c r="E782" s="2">
        <v>46034.28884259259</v>
      </c>
      <c r="F782" s="2">
        <v>46034.28929398148</v>
      </c>
      <c r="G782" t="s">
        <v>50</v>
      </c>
      <c r="H782" t="s">
        <v>51</v>
      </c>
      <c r="I782">
        <v>6</v>
      </c>
      <c r="J782">
        <v>6</v>
      </c>
      <c r="K782" t="s">
        <v>54</v>
      </c>
      <c r="L782" t="s">
        <v>68</v>
      </c>
      <c r="M782" t="s">
        <v>71</v>
      </c>
      <c r="N782" t="s">
        <v>74</v>
      </c>
      <c r="O782">
        <v>39</v>
      </c>
      <c r="P782" t="s">
        <v>79</v>
      </c>
      <c r="Q782" t="s">
        <v>85</v>
      </c>
      <c r="R782" t="s">
        <v>91</v>
      </c>
      <c r="S782" t="s">
        <v>105</v>
      </c>
      <c r="T782" t="s">
        <v>114</v>
      </c>
    </row>
    <row r="783" spans="1:20">
      <c r="A783" t="s">
        <v>23</v>
      </c>
      <c r="B783" t="s">
        <v>30</v>
      </c>
      <c r="C783" t="s">
        <v>37</v>
      </c>
      <c r="E783" s="2">
        <v>46034.28903935185</v>
      </c>
      <c r="F783" s="2">
        <v>46034.28905092592</v>
      </c>
      <c r="G783" t="s">
        <v>50</v>
      </c>
      <c r="H783" t="s">
        <v>51</v>
      </c>
      <c r="I783">
        <v>6</v>
      </c>
      <c r="J783">
        <v>6</v>
      </c>
      <c r="K783" t="s">
        <v>55</v>
      </c>
      <c r="L783" t="s">
        <v>65</v>
      </c>
      <c r="M783" t="s">
        <v>69</v>
      </c>
      <c r="N783" t="s">
        <v>74</v>
      </c>
      <c r="O783">
        <v>1</v>
      </c>
      <c r="P783" t="s">
        <v>81</v>
      </c>
      <c r="Q783" t="s">
        <v>85</v>
      </c>
      <c r="R783" t="s">
        <v>93</v>
      </c>
      <c r="S783" t="s">
        <v>107</v>
      </c>
      <c r="T783" t="s">
        <v>114</v>
      </c>
    </row>
    <row r="784" spans="1:20">
      <c r="A784" t="s">
        <v>23</v>
      </c>
      <c r="B784" t="s">
        <v>30</v>
      </c>
      <c r="C784" t="s">
        <v>37</v>
      </c>
      <c r="E784" s="2">
        <v>46034.28905092592</v>
      </c>
      <c r="F784" s="2">
        <v>46034.28924768518</v>
      </c>
      <c r="G784" t="s">
        <v>50</v>
      </c>
      <c r="H784" t="s">
        <v>51</v>
      </c>
      <c r="I784">
        <v>6</v>
      </c>
      <c r="J784">
        <v>6</v>
      </c>
      <c r="K784" t="s">
        <v>55</v>
      </c>
      <c r="L784" t="s">
        <v>65</v>
      </c>
      <c r="M784" t="s">
        <v>69</v>
      </c>
      <c r="N784" t="s">
        <v>75</v>
      </c>
      <c r="O784">
        <v>17</v>
      </c>
      <c r="P784" t="s">
        <v>81</v>
      </c>
      <c r="Q784" t="s">
        <v>85</v>
      </c>
      <c r="R784" t="s">
        <v>93</v>
      </c>
      <c r="S784" t="s">
        <v>107</v>
      </c>
      <c r="T784" t="s">
        <v>114</v>
      </c>
    </row>
    <row r="785" spans="1:20">
      <c r="A785" t="s">
        <v>23</v>
      </c>
      <c r="B785" t="s">
        <v>30</v>
      </c>
      <c r="C785" t="s">
        <v>37</v>
      </c>
      <c r="E785" s="2">
        <v>46034.28924768518</v>
      </c>
      <c r="F785" s="2">
        <v>46034.28925925926</v>
      </c>
      <c r="G785" t="s">
        <v>50</v>
      </c>
      <c r="H785" t="s">
        <v>51</v>
      </c>
      <c r="I785">
        <v>6</v>
      </c>
      <c r="J785">
        <v>6</v>
      </c>
      <c r="K785" t="s">
        <v>55</v>
      </c>
      <c r="L785" t="s">
        <v>65</v>
      </c>
      <c r="M785" t="s">
        <v>69</v>
      </c>
      <c r="N785" t="s">
        <v>74</v>
      </c>
      <c r="O785">
        <v>1</v>
      </c>
      <c r="P785" t="s">
        <v>81</v>
      </c>
      <c r="Q785" t="s">
        <v>85</v>
      </c>
      <c r="R785" t="s">
        <v>93</v>
      </c>
      <c r="S785" t="s">
        <v>107</v>
      </c>
      <c r="T785" t="s">
        <v>114</v>
      </c>
    </row>
    <row r="786" spans="1:20">
      <c r="A786" t="s">
        <v>23</v>
      </c>
      <c r="B786" t="s">
        <v>30</v>
      </c>
      <c r="C786" t="s">
        <v>39</v>
      </c>
      <c r="E786" s="2">
        <v>46034.28925925926</v>
      </c>
      <c r="F786" s="2">
        <v>46034.29002314815</v>
      </c>
      <c r="G786" t="s">
        <v>50</v>
      </c>
      <c r="H786" t="s">
        <v>51</v>
      </c>
      <c r="I786">
        <v>6</v>
      </c>
      <c r="J786">
        <v>6</v>
      </c>
      <c r="K786" t="s">
        <v>55</v>
      </c>
      <c r="L786" t="s">
        <v>65</v>
      </c>
      <c r="M786" t="s">
        <v>69</v>
      </c>
      <c r="N786" t="s">
        <v>74</v>
      </c>
      <c r="O786">
        <v>66</v>
      </c>
      <c r="P786" t="s">
        <v>81</v>
      </c>
      <c r="Q786" t="s">
        <v>85</v>
      </c>
      <c r="R786" t="s">
        <v>93</v>
      </c>
      <c r="S786" t="s">
        <v>107</v>
      </c>
      <c r="T786" t="s">
        <v>114</v>
      </c>
    </row>
    <row r="787" spans="1:20">
      <c r="A787" t="s">
        <v>21</v>
      </c>
      <c r="B787" t="s">
        <v>28</v>
      </c>
      <c r="C787" t="s">
        <v>37</v>
      </c>
      <c r="E787" s="2">
        <v>46034.28929398148</v>
      </c>
      <c r="F787" s="2">
        <v>46034.28930555555</v>
      </c>
      <c r="G787" t="s">
        <v>50</v>
      </c>
      <c r="H787" t="s">
        <v>51</v>
      </c>
      <c r="I787">
        <v>6</v>
      </c>
      <c r="J787">
        <v>6</v>
      </c>
      <c r="K787" t="s">
        <v>54</v>
      </c>
      <c r="L787" t="s">
        <v>68</v>
      </c>
      <c r="M787" t="s">
        <v>71</v>
      </c>
      <c r="N787" t="s">
        <v>74</v>
      </c>
      <c r="O787">
        <v>1</v>
      </c>
      <c r="P787" t="s">
        <v>81</v>
      </c>
      <c r="Q787" t="s">
        <v>85</v>
      </c>
      <c r="R787" t="s">
        <v>93</v>
      </c>
      <c r="S787" t="s">
        <v>107</v>
      </c>
      <c r="T787" t="s">
        <v>114</v>
      </c>
    </row>
    <row r="788" spans="1:20">
      <c r="A788" t="s">
        <v>21</v>
      </c>
      <c r="B788" t="s">
        <v>28</v>
      </c>
      <c r="C788" t="s">
        <v>37</v>
      </c>
      <c r="E788" s="2">
        <v>46034.28930555555</v>
      </c>
      <c r="F788" s="2">
        <v>46034.28952546296</v>
      </c>
      <c r="G788" t="s">
        <v>50</v>
      </c>
      <c r="H788" t="s">
        <v>51</v>
      </c>
      <c r="I788">
        <v>6</v>
      </c>
      <c r="J788">
        <v>6</v>
      </c>
      <c r="K788" t="s">
        <v>54</v>
      </c>
      <c r="L788" t="s">
        <v>68</v>
      </c>
      <c r="M788" t="s">
        <v>73</v>
      </c>
      <c r="N788" t="s">
        <v>75</v>
      </c>
      <c r="O788">
        <v>19</v>
      </c>
      <c r="P788" t="s">
        <v>81</v>
      </c>
      <c r="Q788" t="s">
        <v>85</v>
      </c>
      <c r="R788" t="s">
        <v>93</v>
      </c>
      <c r="S788" t="s">
        <v>107</v>
      </c>
      <c r="T788" t="s">
        <v>114</v>
      </c>
    </row>
    <row r="789" spans="1:20">
      <c r="A789" t="s">
        <v>21</v>
      </c>
      <c r="B789" t="s">
        <v>28</v>
      </c>
      <c r="C789" t="s">
        <v>37</v>
      </c>
      <c r="E789" s="2">
        <v>46034.28952546296</v>
      </c>
      <c r="F789" s="2">
        <v>46034.29011574074</v>
      </c>
      <c r="G789" t="s">
        <v>50</v>
      </c>
      <c r="H789" t="s">
        <v>51</v>
      </c>
      <c r="I789">
        <v>6</v>
      </c>
      <c r="J789">
        <v>6</v>
      </c>
      <c r="K789" t="s">
        <v>54</v>
      </c>
      <c r="L789" t="s">
        <v>68</v>
      </c>
      <c r="M789" t="s">
        <v>71</v>
      </c>
      <c r="N789" t="s">
        <v>74</v>
      </c>
      <c r="O789">
        <v>51</v>
      </c>
      <c r="P789" t="s">
        <v>81</v>
      </c>
      <c r="Q789" t="s">
        <v>85</v>
      </c>
      <c r="R789" t="s">
        <v>93</v>
      </c>
      <c r="S789" t="s">
        <v>107</v>
      </c>
      <c r="T789" t="s">
        <v>114</v>
      </c>
    </row>
    <row r="790" spans="1:20">
      <c r="A790" t="s">
        <v>23</v>
      </c>
      <c r="B790" t="s">
        <v>30</v>
      </c>
      <c r="C790" t="s">
        <v>37</v>
      </c>
      <c r="E790" s="2">
        <v>46034.29002314815</v>
      </c>
      <c r="F790" s="2">
        <v>46034.29068287037</v>
      </c>
      <c r="G790" t="s">
        <v>50</v>
      </c>
      <c r="H790" t="s">
        <v>51</v>
      </c>
      <c r="I790">
        <v>6</v>
      </c>
      <c r="J790">
        <v>6</v>
      </c>
      <c r="K790" t="s">
        <v>55</v>
      </c>
      <c r="L790" t="s">
        <v>65</v>
      </c>
      <c r="M790" t="s">
        <v>69</v>
      </c>
      <c r="N790" t="s">
        <v>74</v>
      </c>
      <c r="O790">
        <v>57</v>
      </c>
      <c r="P790" t="s">
        <v>81</v>
      </c>
      <c r="Q790" t="s">
        <v>85</v>
      </c>
      <c r="R790" t="s">
        <v>93</v>
      </c>
      <c r="S790" t="s">
        <v>107</v>
      </c>
      <c r="T790" t="s">
        <v>114</v>
      </c>
    </row>
    <row r="791" spans="1:20">
      <c r="A791" t="s">
        <v>20</v>
      </c>
      <c r="B791" t="s">
        <v>27</v>
      </c>
      <c r="C791" t="s">
        <v>38</v>
      </c>
      <c r="E791" s="2">
        <v>46034.29005787037</v>
      </c>
      <c r="F791" s="2">
        <v>46034.29118055556</v>
      </c>
      <c r="G791" t="s">
        <v>50</v>
      </c>
      <c r="H791" t="s">
        <v>51</v>
      </c>
      <c r="I791">
        <v>6</v>
      </c>
      <c r="J791">
        <v>6</v>
      </c>
      <c r="K791" t="s">
        <v>52</v>
      </c>
      <c r="L791" t="s">
        <v>66</v>
      </c>
      <c r="O791">
        <v>97</v>
      </c>
      <c r="P791" t="s">
        <v>79</v>
      </c>
      <c r="Q791" t="s">
        <v>85</v>
      </c>
      <c r="R791" t="s">
        <v>91</v>
      </c>
      <c r="S791" t="s">
        <v>105</v>
      </c>
      <c r="T791" t="s">
        <v>114</v>
      </c>
    </row>
    <row r="792" spans="1:20">
      <c r="A792" t="s">
        <v>21</v>
      </c>
      <c r="B792" t="s">
        <v>28</v>
      </c>
      <c r="C792" t="s">
        <v>39</v>
      </c>
      <c r="E792" s="2">
        <v>46034.29011574074</v>
      </c>
      <c r="F792" s="2">
        <v>46034.29118055556</v>
      </c>
      <c r="G792" t="s">
        <v>50</v>
      </c>
      <c r="H792" t="s">
        <v>51</v>
      </c>
      <c r="I792">
        <v>6</v>
      </c>
      <c r="J792">
        <v>6</v>
      </c>
      <c r="K792" t="s">
        <v>54</v>
      </c>
      <c r="L792" t="s">
        <v>68</v>
      </c>
      <c r="M792" t="s">
        <v>71</v>
      </c>
      <c r="N792" t="s">
        <v>74</v>
      </c>
      <c r="O792">
        <v>92</v>
      </c>
      <c r="P792" t="s">
        <v>81</v>
      </c>
      <c r="Q792" t="s">
        <v>85</v>
      </c>
      <c r="R792" t="s">
        <v>93</v>
      </c>
      <c r="S792" t="s">
        <v>107</v>
      </c>
      <c r="T792" t="s">
        <v>114</v>
      </c>
    </row>
    <row r="793" spans="1:20">
      <c r="A793" t="s">
        <v>23</v>
      </c>
      <c r="B793" t="s">
        <v>30</v>
      </c>
      <c r="C793" t="s">
        <v>38</v>
      </c>
      <c r="E793" s="2">
        <v>46034.29068287037</v>
      </c>
      <c r="F793" s="2">
        <v>46034.29082175926</v>
      </c>
      <c r="G793" t="s">
        <v>50</v>
      </c>
      <c r="H793" t="s">
        <v>51</v>
      </c>
      <c r="I793">
        <v>6</v>
      </c>
      <c r="J793">
        <v>6</v>
      </c>
      <c r="K793" t="s">
        <v>55</v>
      </c>
      <c r="L793" t="s">
        <v>65</v>
      </c>
      <c r="M793" t="s">
        <v>69</v>
      </c>
      <c r="N793" t="s">
        <v>74</v>
      </c>
      <c r="O793">
        <v>12</v>
      </c>
      <c r="P793" t="s">
        <v>79</v>
      </c>
      <c r="Q793" t="s">
        <v>85</v>
      </c>
      <c r="R793" t="s">
        <v>91</v>
      </c>
      <c r="S793" t="s">
        <v>105</v>
      </c>
      <c r="T793" t="s">
        <v>114</v>
      </c>
    </row>
    <row r="794" spans="1:20">
      <c r="A794" t="s">
        <v>23</v>
      </c>
      <c r="B794" t="s">
        <v>30</v>
      </c>
      <c r="C794" t="s">
        <v>36</v>
      </c>
      <c r="E794" s="2">
        <v>46034.29082175926</v>
      </c>
      <c r="F794" s="2">
        <v>46034.29166666666</v>
      </c>
      <c r="G794" t="s">
        <v>50</v>
      </c>
      <c r="H794" t="s">
        <v>51</v>
      </c>
      <c r="I794">
        <v>6</v>
      </c>
      <c r="J794">
        <v>6</v>
      </c>
      <c r="K794" t="s">
        <v>55</v>
      </c>
      <c r="L794" t="s">
        <v>65</v>
      </c>
      <c r="M794" t="s">
        <v>69</v>
      </c>
      <c r="N794" t="s">
        <v>74</v>
      </c>
      <c r="O794">
        <v>73</v>
      </c>
      <c r="P794" t="s">
        <v>79</v>
      </c>
      <c r="Q794" t="s">
        <v>85</v>
      </c>
      <c r="R794" t="s">
        <v>91</v>
      </c>
      <c r="S794" t="s">
        <v>105</v>
      </c>
      <c r="T794" t="s">
        <v>114</v>
      </c>
    </row>
    <row r="795" spans="1:20">
      <c r="A795" t="s">
        <v>25</v>
      </c>
      <c r="B795" t="s">
        <v>32</v>
      </c>
      <c r="C795" t="s">
        <v>37</v>
      </c>
      <c r="E795" s="2">
        <v>46034.29103009259</v>
      </c>
      <c r="F795" s="2">
        <v>46034.29105324074</v>
      </c>
      <c r="G795" t="s">
        <v>50</v>
      </c>
      <c r="H795" t="s">
        <v>51</v>
      </c>
      <c r="I795">
        <v>6</v>
      </c>
      <c r="J795">
        <v>6</v>
      </c>
      <c r="K795" t="s">
        <v>53</v>
      </c>
      <c r="L795" t="s">
        <v>62</v>
      </c>
      <c r="M795" t="s">
        <v>69</v>
      </c>
      <c r="N795" t="s">
        <v>74</v>
      </c>
      <c r="O795">
        <v>2</v>
      </c>
      <c r="P795" t="s">
        <v>81</v>
      </c>
      <c r="Q795" t="s">
        <v>85</v>
      </c>
      <c r="R795" t="s">
        <v>93</v>
      </c>
      <c r="S795" t="s">
        <v>107</v>
      </c>
      <c r="T795" t="s">
        <v>114</v>
      </c>
    </row>
    <row r="796" spans="1:20">
      <c r="A796" t="s">
        <v>25</v>
      </c>
      <c r="B796" t="s">
        <v>32</v>
      </c>
      <c r="C796" t="s">
        <v>37</v>
      </c>
      <c r="E796" s="2">
        <v>46034.29105324074</v>
      </c>
      <c r="F796" s="2">
        <v>46034.29143518519</v>
      </c>
      <c r="G796" t="s">
        <v>50</v>
      </c>
      <c r="H796" t="s">
        <v>51</v>
      </c>
      <c r="I796">
        <v>6</v>
      </c>
      <c r="J796">
        <v>6</v>
      </c>
      <c r="K796" t="s">
        <v>53</v>
      </c>
      <c r="L796" t="s">
        <v>62</v>
      </c>
      <c r="M796" t="s">
        <v>69</v>
      </c>
      <c r="N796" t="s">
        <v>75</v>
      </c>
      <c r="O796">
        <v>33</v>
      </c>
      <c r="P796" t="s">
        <v>81</v>
      </c>
      <c r="Q796" t="s">
        <v>85</v>
      </c>
      <c r="R796" t="s">
        <v>93</v>
      </c>
      <c r="S796" t="s">
        <v>107</v>
      </c>
      <c r="T796" t="s">
        <v>114</v>
      </c>
    </row>
    <row r="797" spans="1:20">
      <c r="A797" t="s">
        <v>21</v>
      </c>
      <c r="B797" t="s">
        <v>28</v>
      </c>
      <c r="C797" t="s">
        <v>37</v>
      </c>
      <c r="E797" s="2">
        <v>46034.29118055556</v>
      </c>
      <c r="F797" s="2">
        <v>46034.29119212963</v>
      </c>
      <c r="G797" t="s">
        <v>50</v>
      </c>
      <c r="H797" t="s">
        <v>51</v>
      </c>
      <c r="I797">
        <v>6</v>
      </c>
      <c r="J797">
        <v>6</v>
      </c>
      <c r="K797" t="s">
        <v>54</v>
      </c>
      <c r="L797" t="s">
        <v>68</v>
      </c>
      <c r="M797" t="s">
        <v>71</v>
      </c>
      <c r="N797" t="s">
        <v>74</v>
      </c>
      <c r="O797">
        <v>1</v>
      </c>
      <c r="P797" t="s">
        <v>81</v>
      </c>
      <c r="Q797" t="s">
        <v>85</v>
      </c>
      <c r="R797" t="s">
        <v>93</v>
      </c>
      <c r="S797" t="s">
        <v>107</v>
      </c>
      <c r="T797" t="s">
        <v>114</v>
      </c>
    </row>
    <row r="798" spans="1:20">
      <c r="A798" t="s">
        <v>20</v>
      </c>
      <c r="B798" t="s">
        <v>27</v>
      </c>
      <c r="C798" t="s">
        <v>39</v>
      </c>
      <c r="E798" s="2">
        <v>46034.29118055556</v>
      </c>
      <c r="F798" s="2">
        <v>46034.29166666666</v>
      </c>
      <c r="G798" t="s">
        <v>50</v>
      </c>
      <c r="H798" t="s">
        <v>51</v>
      </c>
      <c r="I798">
        <v>6</v>
      </c>
      <c r="J798">
        <v>6</v>
      </c>
      <c r="K798" t="s">
        <v>52</v>
      </c>
      <c r="L798" t="s">
        <v>66</v>
      </c>
      <c r="O798">
        <v>42</v>
      </c>
      <c r="P798" t="s">
        <v>81</v>
      </c>
      <c r="Q798" t="s">
        <v>85</v>
      </c>
      <c r="R798" t="s">
        <v>93</v>
      </c>
      <c r="S798" t="s">
        <v>107</v>
      </c>
      <c r="T798" t="s">
        <v>114</v>
      </c>
    </row>
    <row r="799" spans="1:20">
      <c r="A799" t="s">
        <v>21</v>
      </c>
      <c r="B799" t="s">
        <v>28</v>
      </c>
      <c r="C799" t="s">
        <v>37</v>
      </c>
      <c r="E799" s="2">
        <v>46034.29119212963</v>
      </c>
      <c r="F799" s="2">
        <v>46034.29166666666</v>
      </c>
      <c r="G799" t="s">
        <v>50</v>
      </c>
      <c r="H799" t="s">
        <v>51</v>
      </c>
      <c r="I799">
        <v>6</v>
      </c>
      <c r="J799">
        <v>6</v>
      </c>
      <c r="K799" t="s">
        <v>54</v>
      </c>
      <c r="L799" t="s">
        <v>68</v>
      </c>
      <c r="M799" t="s">
        <v>73</v>
      </c>
      <c r="N799" t="s">
        <v>76</v>
      </c>
      <c r="O799">
        <v>41</v>
      </c>
      <c r="P799" t="s">
        <v>81</v>
      </c>
      <c r="Q799" t="s">
        <v>85</v>
      </c>
      <c r="R799" t="s">
        <v>93</v>
      </c>
      <c r="S799" t="s">
        <v>107</v>
      </c>
      <c r="T799" t="s">
        <v>114</v>
      </c>
    </row>
    <row r="800" spans="1:20">
      <c r="A800" t="s">
        <v>25</v>
      </c>
      <c r="B800" t="s">
        <v>32</v>
      </c>
      <c r="C800" t="s">
        <v>37</v>
      </c>
      <c r="E800" s="2">
        <v>46034.29143518519</v>
      </c>
      <c r="F800" s="2">
        <v>46034.29145833333</v>
      </c>
      <c r="G800" t="s">
        <v>50</v>
      </c>
      <c r="H800" t="s">
        <v>51</v>
      </c>
      <c r="I800">
        <v>6</v>
      </c>
      <c r="J800">
        <v>6</v>
      </c>
      <c r="K800" t="s">
        <v>53</v>
      </c>
      <c r="L800" t="s">
        <v>62</v>
      </c>
      <c r="M800" t="s">
        <v>69</v>
      </c>
      <c r="N800" t="s">
        <v>74</v>
      </c>
      <c r="O800">
        <v>2</v>
      </c>
      <c r="P800" t="s">
        <v>81</v>
      </c>
      <c r="Q800" t="s">
        <v>85</v>
      </c>
      <c r="R800" t="s">
        <v>93</v>
      </c>
      <c r="S800" t="s">
        <v>107</v>
      </c>
      <c r="T800" t="s">
        <v>114</v>
      </c>
    </row>
    <row r="801" spans="1:20">
      <c r="A801" t="s">
        <v>25</v>
      </c>
      <c r="B801" t="s">
        <v>32</v>
      </c>
      <c r="C801" t="s">
        <v>39</v>
      </c>
      <c r="E801" s="2">
        <v>46034.29145833333</v>
      </c>
      <c r="F801" s="2">
        <v>46034.29166666666</v>
      </c>
      <c r="G801" t="s">
        <v>50</v>
      </c>
      <c r="H801" t="s">
        <v>51</v>
      </c>
      <c r="I801">
        <v>6</v>
      </c>
      <c r="J801">
        <v>6</v>
      </c>
      <c r="K801" t="s">
        <v>53</v>
      </c>
      <c r="L801" t="s">
        <v>62</v>
      </c>
      <c r="M801" t="s">
        <v>69</v>
      </c>
      <c r="N801" t="s">
        <v>74</v>
      </c>
      <c r="O801">
        <v>18</v>
      </c>
      <c r="P801" t="s">
        <v>81</v>
      </c>
      <c r="Q801" t="s">
        <v>85</v>
      </c>
      <c r="R801" t="s">
        <v>93</v>
      </c>
      <c r="S801" t="s">
        <v>107</v>
      </c>
      <c r="T801" t="s">
        <v>114</v>
      </c>
    </row>
    <row r="802" spans="1:20">
      <c r="A802" t="s">
        <v>25</v>
      </c>
      <c r="B802" t="s">
        <v>32</v>
      </c>
      <c r="C802" t="s">
        <v>39</v>
      </c>
      <c r="E802" s="2">
        <v>46034.29166666666</v>
      </c>
      <c r="F802" s="2">
        <v>46034.29179398148</v>
      </c>
      <c r="G802" t="s">
        <v>50</v>
      </c>
      <c r="H802" t="s">
        <v>51</v>
      </c>
      <c r="I802">
        <v>7</v>
      </c>
      <c r="J802">
        <v>7</v>
      </c>
      <c r="K802" t="s">
        <v>53</v>
      </c>
      <c r="L802" t="s">
        <v>62</v>
      </c>
      <c r="M802" t="s">
        <v>69</v>
      </c>
      <c r="N802" t="s">
        <v>74</v>
      </c>
      <c r="O802">
        <v>11</v>
      </c>
      <c r="P802" t="s">
        <v>81</v>
      </c>
      <c r="Q802" t="s">
        <v>85</v>
      </c>
      <c r="R802" t="s">
        <v>93</v>
      </c>
      <c r="S802" t="s">
        <v>107</v>
      </c>
      <c r="T802" t="s">
        <v>114</v>
      </c>
    </row>
    <row r="803" spans="1:20">
      <c r="A803" t="s">
        <v>26</v>
      </c>
      <c r="B803" t="s">
        <v>33</v>
      </c>
      <c r="C803" t="s">
        <v>38</v>
      </c>
      <c r="E803" s="2">
        <v>46034.29166666666</v>
      </c>
      <c r="F803" s="2">
        <v>46034.31900462963</v>
      </c>
      <c r="G803" t="s">
        <v>50</v>
      </c>
      <c r="H803" t="s">
        <v>51</v>
      </c>
      <c r="I803">
        <v>7</v>
      </c>
      <c r="J803">
        <v>7</v>
      </c>
      <c r="L803" t="s">
        <v>63</v>
      </c>
      <c r="M803" t="s">
        <v>71</v>
      </c>
      <c r="N803" t="s">
        <v>74</v>
      </c>
      <c r="O803">
        <v>2362</v>
      </c>
      <c r="P803" t="s">
        <v>79</v>
      </c>
      <c r="Q803" t="s">
        <v>85</v>
      </c>
      <c r="R803" t="s">
        <v>91</v>
      </c>
      <c r="S803" t="s">
        <v>105</v>
      </c>
      <c r="T803" t="s">
        <v>114</v>
      </c>
    </row>
    <row r="804" spans="1:20">
      <c r="A804" t="s">
        <v>21</v>
      </c>
      <c r="B804" t="s">
        <v>28</v>
      </c>
      <c r="C804" t="s">
        <v>37</v>
      </c>
      <c r="E804" s="2">
        <v>46034.29166666666</v>
      </c>
      <c r="F804" s="2">
        <v>46034.29170138889</v>
      </c>
      <c r="G804" t="s">
        <v>50</v>
      </c>
      <c r="H804" t="s">
        <v>51</v>
      </c>
      <c r="I804">
        <v>7</v>
      </c>
      <c r="J804">
        <v>7</v>
      </c>
      <c r="K804" t="s">
        <v>54</v>
      </c>
      <c r="L804" t="s">
        <v>68</v>
      </c>
      <c r="M804" t="s">
        <v>73</v>
      </c>
      <c r="N804" t="s">
        <v>76</v>
      </c>
      <c r="O804">
        <v>3</v>
      </c>
      <c r="P804" t="s">
        <v>81</v>
      </c>
      <c r="Q804" t="s">
        <v>85</v>
      </c>
      <c r="R804" t="s">
        <v>93</v>
      </c>
      <c r="S804" t="s">
        <v>107</v>
      </c>
      <c r="T804" t="s">
        <v>114</v>
      </c>
    </row>
    <row r="805" spans="1:20">
      <c r="A805" t="s">
        <v>22</v>
      </c>
      <c r="B805" t="s">
        <v>29</v>
      </c>
      <c r="C805" t="s">
        <v>36</v>
      </c>
      <c r="E805" s="2">
        <v>46034.29166666666</v>
      </c>
      <c r="F805" s="2">
        <v>46034.29328703704</v>
      </c>
      <c r="G805" t="s">
        <v>50</v>
      </c>
      <c r="H805" t="s">
        <v>51</v>
      </c>
      <c r="I805">
        <v>7</v>
      </c>
      <c r="J805">
        <v>7</v>
      </c>
      <c r="K805" t="s">
        <v>54</v>
      </c>
      <c r="L805" t="s">
        <v>64</v>
      </c>
      <c r="M805" t="s">
        <v>69</v>
      </c>
      <c r="N805" t="s">
        <v>74</v>
      </c>
      <c r="O805">
        <v>140</v>
      </c>
      <c r="P805" t="s">
        <v>79</v>
      </c>
      <c r="Q805" t="s">
        <v>85</v>
      </c>
      <c r="R805" t="s">
        <v>91</v>
      </c>
      <c r="S805" t="s">
        <v>105</v>
      </c>
      <c r="T805" t="s">
        <v>114</v>
      </c>
    </row>
    <row r="806" spans="1:20">
      <c r="A806" t="s">
        <v>20</v>
      </c>
      <c r="B806" t="s">
        <v>27</v>
      </c>
      <c r="C806" t="s">
        <v>39</v>
      </c>
      <c r="E806" s="2">
        <v>46034.29166666666</v>
      </c>
      <c r="F806" s="2">
        <v>46034.29515046296</v>
      </c>
      <c r="G806" t="s">
        <v>50</v>
      </c>
      <c r="H806" t="s">
        <v>51</v>
      </c>
      <c r="I806">
        <v>7</v>
      </c>
      <c r="J806">
        <v>7</v>
      </c>
      <c r="K806" t="s">
        <v>52</v>
      </c>
      <c r="L806" t="s">
        <v>66</v>
      </c>
      <c r="O806">
        <v>301</v>
      </c>
      <c r="P806" t="s">
        <v>81</v>
      </c>
      <c r="Q806" t="s">
        <v>85</v>
      </c>
      <c r="R806" t="s">
        <v>93</v>
      </c>
      <c r="S806" t="s">
        <v>107</v>
      </c>
      <c r="T806" t="s">
        <v>114</v>
      </c>
    </row>
    <row r="807" spans="1:20">
      <c r="A807" t="s">
        <v>23</v>
      </c>
      <c r="B807" t="s">
        <v>30</v>
      </c>
      <c r="C807" t="s">
        <v>36</v>
      </c>
      <c r="E807" s="2">
        <v>46034.29166666666</v>
      </c>
      <c r="F807" s="2">
        <v>46034.31391203704</v>
      </c>
      <c r="G807" t="s">
        <v>50</v>
      </c>
      <c r="H807" t="s">
        <v>51</v>
      </c>
      <c r="I807">
        <v>7</v>
      </c>
      <c r="J807">
        <v>7</v>
      </c>
      <c r="K807" t="s">
        <v>55</v>
      </c>
      <c r="L807" t="s">
        <v>65</v>
      </c>
      <c r="M807" t="s">
        <v>69</v>
      </c>
      <c r="N807" t="s">
        <v>74</v>
      </c>
      <c r="O807">
        <v>1922</v>
      </c>
      <c r="P807" t="s">
        <v>79</v>
      </c>
      <c r="Q807" t="s">
        <v>85</v>
      </c>
      <c r="R807" t="s">
        <v>91</v>
      </c>
      <c r="S807" t="s">
        <v>105</v>
      </c>
      <c r="T807" t="s">
        <v>114</v>
      </c>
    </row>
    <row r="808" spans="1:20">
      <c r="A808" t="s">
        <v>24</v>
      </c>
      <c r="B808" t="s">
        <v>31</v>
      </c>
      <c r="C808" t="s">
        <v>36</v>
      </c>
      <c r="E808" s="2">
        <v>46034.29166666666</v>
      </c>
      <c r="F808" s="2">
        <v>46034.31395833333</v>
      </c>
      <c r="G808" t="s">
        <v>50</v>
      </c>
      <c r="H808" t="s">
        <v>51</v>
      </c>
      <c r="I808">
        <v>7</v>
      </c>
      <c r="J808">
        <v>7</v>
      </c>
      <c r="K808" t="s">
        <v>56</v>
      </c>
      <c r="L808" t="s">
        <v>67</v>
      </c>
      <c r="N808" t="s">
        <v>74</v>
      </c>
      <c r="O808">
        <v>1926</v>
      </c>
      <c r="P808" t="s">
        <v>79</v>
      </c>
      <c r="Q808" t="s">
        <v>85</v>
      </c>
      <c r="R808" t="s">
        <v>91</v>
      </c>
      <c r="S808" t="s">
        <v>105</v>
      </c>
      <c r="T808" t="s">
        <v>114</v>
      </c>
    </row>
    <row r="809" spans="1:20">
      <c r="A809" t="s">
        <v>21</v>
      </c>
      <c r="B809" t="s">
        <v>28</v>
      </c>
      <c r="C809" t="s">
        <v>37</v>
      </c>
      <c r="E809" s="2">
        <v>46034.29170138889</v>
      </c>
      <c r="F809" s="2">
        <v>46034.2922800926</v>
      </c>
      <c r="G809" t="s">
        <v>50</v>
      </c>
      <c r="H809" t="s">
        <v>51</v>
      </c>
      <c r="I809">
        <v>7</v>
      </c>
      <c r="J809">
        <v>7</v>
      </c>
      <c r="K809" t="s">
        <v>54</v>
      </c>
      <c r="L809" t="s">
        <v>68</v>
      </c>
      <c r="M809" t="s">
        <v>71</v>
      </c>
      <c r="N809" t="s">
        <v>74</v>
      </c>
      <c r="O809">
        <v>50</v>
      </c>
      <c r="P809" t="s">
        <v>81</v>
      </c>
      <c r="Q809" t="s">
        <v>85</v>
      </c>
      <c r="R809" t="s">
        <v>93</v>
      </c>
      <c r="S809" t="s">
        <v>107</v>
      </c>
      <c r="T809" t="s">
        <v>114</v>
      </c>
    </row>
    <row r="810" spans="1:20">
      <c r="A810" t="s">
        <v>25</v>
      </c>
      <c r="B810" t="s">
        <v>32</v>
      </c>
      <c r="C810" t="s">
        <v>37</v>
      </c>
      <c r="E810" s="2">
        <v>46034.29179398148</v>
      </c>
      <c r="F810" s="2">
        <v>46034.29180555556</v>
      </c>
      <c r="G810" t="s">
        <v>50</v>
      </c>
      <c r="H810" t="s">
        <v>51</v>
      </c>
      <c r="I810">
        <v>7</v>
      </c>
      <c r="J810">
        <v>7</v>
      </c>
      <c r="K810" t="s">
        <v>53</v>
      </c>
      <c r="L810" t="s">
        <v>62</v>
      </c>
      <c r="M810" t="s">
        <v>69</v>
      </c>
      <c r="N810" t="s">
        <v>74</v>
      </c>
      <c r="O810">
        <v>1</v>
      </c>
      <c r="P810" t="s">
        <v>81</v>
      </c>
      <c r="Q810" t="s">
        <v>85</v>
      </c>
      <c r="R810" t="s">
        <v>93</v>
      </c>
      <c r="S810" t="s">
        <v>107</v>
      </c>
      <c r="T810" t="s">
        <v>114</v>
      </c>
    </row>
    <row r="811" spans="1:20">
      <c r="A811" t="s">
        <v>25</v>
      </c>
      <c r="B811" t="s">
        <v>32</v>
      </c>
      <c r="C811" t="s">
        <v>37</v>
      </c>
      <c r="E811" s="2">
        <v>46034.29180555556</v>
      </c>
      <c r="F811" s="2">
        <v>46034.29193287037</v>
      </c>
      <c r="G811" t="s">
        <v>50</v>
      </c>
      <c r="H811" t="s">
        <v>51</v>
      </c>
      <c r="I811">
        <v>7</v>
      </c>
      <c r="J811">
        <v>7</v>
      </c>
      <c r="K811" t="s">
        <v>53</v>
      </c>
      <c r="L811" t="s">
        <v>62</v>
      </c>
      <c r="M811" t="s">
        <v>69</v>
      </c>
      <c r="N811" t="s">
        <v>76</v>
      </c>
      <c r="O811">
        <v>11</v>
      </c>
      <c r="P811" t="s">
        <v>81</v>
      </c>
      <c r="Q811" t="s">
        <v>85</v>
      </c>
      <c r="R811" t="s">
        <v>93</v>
      </c>
      <c r="S811" t="s">
        <v>107</v>
      </c>
      <c r="T811" t="s">
        <v>114</v>
      </c>
    </row>
    <row r="812" spans="1:20">
      <c r="A812" t="s">
        <v>25</v>
      </c>
      <c r="B812" t="s">
        <v>32</v>
      </c>
      <c r="C812" t="s">
        <v>37</v>
      </c>
      <c r="E812" s="2">
        <v>46034.29193287037</v>
      </c>
      <c r="F812" s="2">
        <v>46034.29293981481</v>
      </c>
      <c r="G812" t="s">
        <v>50</v>
      </c>
      <c r="H812" t="s">
        <v>51</v>
      </c>
      <c r="I812">
        <v>7</v>
      </c>
      <c r="J812">
        <v>7</v>
      </c>
      <c r="K812" t="s">
        <v>53</v>
      </c>
      <c r="L812" t="s">
        <v>62</v>
      </c>
      <c r="M812" t="s">
        <v>69</v>
      </c>
      <c r="N812" t="s">
        <v>74</v>
      </c>
      <c r="O812">
        <v>87</v>
      </c>
      <c r="P812" t="s">
        <v>81</v>
      </c>
      <c r="Q812" t="s">
        <v>85</v>
      </c>
      <c r="R812" t="s">
        <v>93</v>
      </c>
      <c r="S812" t="s">
        <v>107</v>
      </c>
      <c r="T812" t="s">
        <v>114</v>
      </c>
    </row>
    <row r="813" spans="1:20">
      <c r="A813" t="s">
        <v>21</v>
      </c>
      <c r="B813" t="s">
        <v>28</v>
      </c>
      <c r="C813" t="s">
        <v>38</v>
      </c>
      <c r="E813" s="2">
        <v>46034.2922800926</v>
      </c>
      <c r="F813" s="2">
        <v>46034.29253472222</v>
      </c>
      <c r="G813" t="s">
        <v>50</v>
      </c>
      <c r="H813" t="s">
        <v>51</v>
      </c>
      <c r="I813">
        <v>7</v>
      </c>
      <c r="J813">
        <v>7</v>
      </c>
      <c r="K813" t="s">
        <v>54</v>
      </c>
      <c r="L813" t="s">
        <v>68</v>
      </c>
      <c r="M813" t="s">
        <v>71</v>
      </c>
      <c r="N813" t="s">
        <v>74</v>
      </c>
      <c r="O813">
        <v>22</v>
      </c>
      <c r="P813" t="s">
        <v>79</v>
      </c>
      <c r="Q813" t="s">
        <v>85</v>
      </c>
      <c r="R813" t="s">
        <v>91</v>
      </c>
      <c r="S813" t="s">
        <v>105</v>
      </c>
      <c r="T813" t="s">
        <v>114</v>
      </c>
    </row>
    <row r="814" spans="1:20">
      <c r="A814" t="s">
        <v>21</v>
      </c>
      <c r="B814" t="s">
        <v>28</v>
      </c>
      <c r="C814" t="s">
        <v>36</v>
      </c>
      <c r="E814" s="2">
        <v>46034.29253472222</v>
      </c>
      <c r="F814" s="2">
        <v>46034.29263888889</v>
      </c>
      <c r="G814" t="s">
        <v>50</v>
      </c>
      <c r="H814" t="s">
        <v>51</v>
      </c>
      <c r="I814">
        <v>7</v>
      </c>
      <c r="J814">
        <v>7</v>
      </c>
      <c r="K814" t="s">
        <v>54</v>
      </c>
      <c r="L814" t="s">
        <v>68</v>
      </c>
      <c r="M814" t="s">
        <v>71</v>
      </c>
      <c r="N814" t="s">
        <v>74</v>
      </c>
      <c r="O814">
        <v>9</v>
      </c>
      <c r="P814" t="s">
        <v>79</v>
      </c>
      <c r="Q814" t="s">
        <v>85</v>
      </c>
      <c r="R814" t="s">
        <v>91</v>
      </c>
      <c r="S814" t="s">
        <v>105</v>
      </c>
      <c r="T814" t="s">
        <v>114</v>
      </c>
    </row>
    <row r="815" spans="1:20">
      <c r="A815" t="s">
        <v>21</v>
      </c>
      <c r="B815" t="s">
        <v>28</v>
      </c>
      <c r="C815" t="s">
        <v>36</v>
      </c>
      <c r="E815" s="2">
        <v>46034.29263888889</v>
      </c>
      <c r="F815" s="2">
        <v>46034.29802083333</v>
      </c>
      <c r="G815" t="s">
        <v>50</v>
      </c>
      <c r="H815" t="s">
        <v>51</v>
      </c>
      <c r="I815">
        <v>7</v>
      </c>
      <c r="J815">
        <v>7</v>
      </c>
      <c r="K815" t="s">
        <v>54</v>
      </c>
      <c r="L815" t="s">
        <v>68</v>
      </c>
      <c r="M815" t="s">
        <v>73</v>
      </c>
      <c r="N815" t="s">
        <v>74</v>
      </c>
      <c r="O815">
        <v>465</v>
      </c>
      <c r="P815" t="s">
        <v>79</v>
      </c>
      <c r="Q815" t="s">
        <v>85</v>
      </c>
      <c r="R815" t="s">
        <v>91</v>
      </c>
      <c r="S815" t="s">
        <v>105</v>
      </c>
      <c r="T815" t="s">
        <v>114</v>
      </c>
    </row>
    <row r="816" spans="1:20">
      <c r="A816" t="s">
        <v>25</v>
      </c>
      <c r="B816" t="s">
        <v>32</v>
      </c>
      <c r="C816" t="s">
        <v>38</v>
      </c>
      <c r="E816" s="2">
        <v>46034.29293981481</v>
      </c>
      <c r="F816" s="2">
        <v>46034.325625</v>
      </c>
      <c r="G816" t="s">
        <v>50</v>
      </c>
      <c r="H816" t="s">
        <v>51</v>
      </c>
      <c r="I816">
        <v>7</v>
      </c>
      <c r="J816">
        <v>7</v>
      </c>
      <c r="K816" t="s">
        <v>53</v>
      </c>
      <c r="L816" t="s">
        <v>62</v>
      </c>
      <c r="M816" t="s">
        <v>69</v>
      </c>
      <c r="N816" t="s">
        <v>74</v>
      </c>
      <c r="O816">
        <v>2824</v>
      </c>
      <c r="P816" t="s">
        <v>79</v>
      </c>
      <c r="Q816" t="s">
        <v>85</v>
      </c>
      <c r="R816" t="s">
        <v>91</v>
      </c>
      <c r="S816" t="s">
        <v>105</v>
      </c>
      <c r="T816" t="s">
        <v>114</v>
      </c>
    </row>
    <row r="817" spans="1:20">
      <c r="A817" t="s">
        <v>22</v>
      </c>
      <c r="B817" t="s">
        <v>29</v>
      </c>
      <c r="C817" t="s">
        <v>38</v>
      </c>
      <c r="E817" s="2">
        <v>46034.29328703704</v>
      </c>
      <c r="F817" s="2">
        <v>46034.29369212963</v>
      </c>
      <c r="G817" t="s">
        <v>50</v>
      </c>
      <c r="H817" t="s">
        <v>51</v>
      </c>
      <c r="I817">
        <v>7</v>
      </c>
      <c r="J817">
        <v>7</v>
      </c>
      <c r="K817" t="s">
        <v>54</v>
      </c>
      <c r="L817" t="s">
        <v>64</v>
      </c>
      <c r="M817" t="s">
        <v>69</v>
      </c>
      <c r="N817" t="s">
        <v>74</v>
      </c>
      <c r="O817">
        <v>35</v>
      </c>
      <c r="P817" t="s">
        <v>79</v>
      </c>
      <c r="Q817" t="s">
        <v>85</v>
      </c>
      <c r="R817" t="s">
        <v>91</v>
      </c>
      <c r="S817" t="s">
        <v>105</v>
      </c>
      <c r="T817" t="s">
        <v>114</v>
      </c>
    </row>
    <row r="818" spans="1:20">
      <c r="A818" t="s">
        <v>22</v>
      </c>
      <c r="B818" t="s">
        <v>29</v>
      </c>
      <c r="C818" t="s">
        <v>37</v>
      </c>
      <c r="E818" s="2">
        <v>46034.29369212963</v>
      </c>
      <c r="F818" s="2">
        <v>46034.29408564815</v>
      </c>
      <c r="G818" t="s">
        <v>50</v>
      </c>
      <c r="H818" t="s">
        <v>51</v>
      </c>
      <c r="I818">
        <v>7</v>
      </c>
      <c r="J818">
        <v>7</v>
      </c>
      <c r="K818" t="s">
        <v>54</v>
      </c>
      <c r="L818" t="s">
        <v>64</v>
      </c>
      <c r="M818" t="s">
        <v>69</v>
      </c>
      <c r="N818" t="s">
        <v>74</v>
      </c>
      <c r="O818">
        <v>34</v>
      </c>
      <c r="P818" t="s">
        <v>81</v>
      </c>
      <c r="Q818" t="s">
        <v>85</v>
      </c>
      <c r="R818" t="s">
        <v>93</v>
      </c>
      <c r="S818" t="s">
        <v>107</v>
      </c>
      <c r="T818" t="s">
        <v>114</v>
      </c>
    </row>
    <row r="819" spans="1:20">
      <c r="A819" t="s">
        <v>22</v>
      </c>
      <c r="B819" t="s">
        <v>29</v>
      </c>
      <c r="C819" t="s">
        <v>39</v>
      </c>
      <c r="E819" s="2">
        <v>46034.29408564815</v>
      </c>
      <c r="F819" s="2">
        <v>46034.29454861111</v>
      </c>
      <c r="G819" t="s">
        <v>50</v>
      </c>
      <c r="H819" t="s">
        <v>51</v>
      </c>
      <c r="I819">
        <v>7</v>
      </c>
      <c r="J819">
        <v>7</v>
      </c>
      <c r="K819" t="s">
        <v>54</v>
      </c>
      <c r="L819" t="s">
        <v>64</v>
      </c>
      <c r="M819" t="s">
        <v>69</v>
      </c>
      <c r="N819" t="s">
        <v>74</v>
      </c>
      <c r="O819">
        <v>40</v>
      </c>
      <c r="P819" t="s">
        <v>81</v>
      </c>
      <c r="Q819" t="s">
        <v>85</v>
      </c>
      <c r="R819" t="s">
        <v>93</v>
      </c>
      <c r="S819" t="s">
        <v>107</v>
      </c>
      <c r="T819" t="s">
        <v>114</v>
      </c>
    </row>
    <row r="820" spans="1:20">
      <c r="A820" t="s">
        <v>22</v>
      </c>
      <c r="B820" t="s">
        <v>29</v>
      </c>
      <c r="C820" t="s">
        <v>37</v>
      </c>
      <c r="E820" s="2">
        <v>46034.29454861111</v>
      </c>
      <c r="F820" s="2">
        <v>46034.29554398148</v>
      </c>
      <c r="G820" t="s">
        <v>50</v>
      </c>
      <c r="H820" t="s">
        <v>51</v>
      </c>
      <c r="I820">
        <v>7</v>
      </c>
      <c r="J820">
        <v>7</v>
      </c>
      <c r="K820" t="s">
        <v>54</v>
      </c>
      <c r="L820" t="s">
        <v>64</v>
      </c>
      <c r="M820" t="s">
        <v>69</v>
      </c>
      <c r="N820" t="s">
        <v>74</v>
      </c>
      <c r="O820">
        <v>86</v>
      </c>
      <c r="P820" t="s">
        <v>81</v>
      </c>
      <c r="Q820" t="s">
        <v>85</v>
      </c>
      <c r="R820" t="s">
        <v>93</v>
      </c>
      <c r="S820" t="s">
        <v>107</v>
      </c>
      <c r="T820" t="s">
        <v>114</v>
      </c>
    </row>
    <row r="821" spans="1:20">
      <c r="A821" t="s">
        <v>20</v>
      </c>
      <c r="B821" t="s">
        <v>27</v>
      </c>
      <c r="C821" t="s">
        <v>38</v>
      </c>
      <c r="E821" s="2">
        <v>46034.29515046296</v>
      </c>
      <c r="F821" s="2">
        <v>46034.29581018518</v>
      </c>
      <c r="G821" t="s">
        <v>50</v>
      </c>
      <c r="H821" t="s">
        <v>51</v>
      </c>
      <c r="I821">
        <v>7</v>
      </c>
      <c r="J821">
        <v>7</v>
      </c>
      <c r="K821" t="s">
        <v>52</v>
      </c>
      <c r="L821" t="s">
        <v>66</v>
      </c>
      <c r="O821">
        <v>57</v>
      </c>
      <c r="P821" t="s">
        <v>79</v>
      </c>
      <c r="Q821" t="s">
        <v>85</v>
      </c>
      <c r="R821" t="s">
        <v>91</v>
      </c>
      <c r="S821" t="s">
        <v>105</v>
      </c>
      <c r="T821" t="s">
        <v>114</v>
      </c>
    </row>
    <row r="822" spans="1:20">
      <c r="A822" t="s">
        <v>22</v>
      </c>
      <c r="B822" t="s">
        <v>29</v>
      </c>
      <c r="C822" t="s">
        <v>38</v>
      </c>
      <c r="E822" s="2">
        <v>46034.29554398148</v>
      </c>
      <c r="F822" s="2">
        <v>46034.29569444444</v>
      </c>
      <c r="G822" t="s">
        <v>50</v>
      </c>
      <c r="H822" t="s">
        <v>51</v>
      </c>
      <c r="I822">
        <v>7</v>
      </c>
      <c r="J822">
        <v>7</v>
      </c>
      <c r="K822" t="s">
        <v>54</v>
      </c>
      <c r="L822" t="s">
        <v>64</v>
      </c>
      <c r="M822" t="s">
        <v>69</v>
      </c>
      <c r="N822" t="s">
        <v>74</v>
      </c>
      <c r="O822">
        <v>13</v>
      </c>
      <c r="P822" t="s">
        <v>79</v>
      </c>
      <c r="Q822" t="s">
        <v>85</v>
      </c>
      <c r="R822" t="s">
        <v>91</v>
      </c>
      <c r="S822" t="s">
        <v>105</v>
      </c>
      <c r="T822" t="s">
        <v>114</v>
      </c>
    </row>
    <row r="823" spans="1:20">
      <c r="A823" t="s">
        <v>22</v>
      </c>
      <c r="B823" t="s">
        <v>29</v>
      </c>
      <c r="C823" t="s">
        <v>36</v>
      </c>
      <c r="E823" s="2">
        <v>46034.29569444444</v>
      </c>
      <c r="F823" s="2">
        <v>46034.31895833334</v>
      </c>
      <c r="G823" t="s">
        <v>50</v>
      </c>
      <c r="H823" t="s">
        <v>51</v>
      </c>
      <c r="I823">
        <v>7</v>
      </c>
      <c r="J823">
        <v>7</v>
      </c>
      <c r="K823" t="s">
        <v>54</v>
      </c>
      <c r="L823" t="s">
        <v>64</v>
      </c>
      <c r="M823" t="s">
        <v>69</v>
      </c>
      <c r="N823" t="s">
        <v>74</v>
      </c>
      <c r="O823">
        <v>2010</v>
      </c>
      <c r="P823" t="s">
        <v>79</v>
      </c>
      <c r="Q823" t="s">
        <v>85</v>
      </c>
      <c r="R823" t="s">
        <v>91</v>
      </c>
      <c r="S823" t="s">
        <v>105</v>
      </c>
      <c r="T823" t="s">
        <v>114</v>
      </c>
    </row>
    <row r="824" spans="1:20">
      <c r="A824" t="s">
        <v>20</v>
      </c>
      <c r="B824" t="s">
        <v>27</v>
      </c>
      <c r="C824" t="s">
        <v>36</v>
      </c>
      <c r="E824" s="2">
        <v>46034.29581018518</v>
      </c>
      <c r="F824" s="2">
        <v>46034.30541666667</v>
      </c>
      <c r="G824" t="s">
        <v>50</v>
      </c>
      <c r="H824" t="s">
        <v>51</v>
      </c>
      <c r="I824">
        <v>7</v>
      </c>
      <c r="J824">
        <v>7</v>
      </c>
      <c r="K824" t="s">
        <v>52</v>
      </c>
      <c r="L824" t="s">
        <v>66</v>
      </c>
      <c r="O824">
        <v>830</v>
      </c>
      <c r="P824" t="s">
        <v>79</v>
      </c>
      <c r="Q824" t="s">
        <v>85</v>
      </c>
      <c r="R824" t="s">
        <v>91</v>
      </c>
      <c r="S824" t="s">
        <v>105</v>
      </c>
      <c r="T824" t="s">
        <v>114</v>
      </c>
    </row>
    <row r="825" spans="1:20">
      <c r="A825" t="s">
        <v>21</v>
      </c>
      <c r="B825" t="s">
        <v>28</v>
      </c>
      <c r="C825" t="s">
        <v>36</v>
      </c>
      <c r="E825" s="2">
        <v>46034.29802083333</v>
      </c>
      <c r="F825" s="2">
        <v>46034.32780092592</v>
      </c>
      <c r="G825" t="s">
        <v>50</v>
      </c>
      <c r="H825" t="s">
        <v>51</v>
      </c>
      <c r="I825">
        <v>7</v>
      </c>
      <c r="J825">
        <v>7</v>
      </c>
      <c r="K825" t="s">
        <v>54</v>
      </c>
      <c r="L825" t="s">
        <v>68</v>
      </c>
      <c r="M825" t="s">
        <v>71</v>
      </c>
      <c r="N825" t="s">
        <v>74</v>
      </c>
      <c r="O825">
        <v>2573</v>
      </c>
      <c r="P825" t="s">
        <v>79</v>
      </c>
      <c r="Q825" t="s">
        <v>85</v>
      </c>
      <c r="R825" t="s">
        <v>91</v>
      </c>
      <c r="S825" t="s">
        <v>105</v>
      </c>
      <c r="T825" t="s">
        <v>114</v>
      </c>
    </row>
    <row r="826" spans="1:20">
      <c r="A826" t="s">
        <v>20</v>
      </c>
      <c r="B826" t="s">
        <v>27</v>
      </c>
      <c r="C826" t="s">
        <v>38</v>
      </c>
      <c r="E826" s="2">
        <v>46034.30541666667</v>
      </c>
      <c r="F826" s="2">
        <v>46034.30609953704</v>
      </c>
      <c r="G826" t="s">
        <v>50</v>
      </c>
      <c r="H826" t="s">
        <v>51</v>
      </c>
      <c r="I826">
        <v>7</v>
      </c>
      <c r="J826">
        <v>7</v>
      </c>
      <c r="K826" t="s">
        <v>52</v>
      </c>
      <c r="L826" t="s">
        <v>66</v>
      </c>
      <c r="O826">
        <v>59</v>
      </c>
      <c r="P826" t="s">
        <v>79</v>
      </c>
      <c r="Q826" t="s">
        <v>85</v>
      </c>
      <c r="R826" t="s">
        <v>91</v>
      </c>
      <c r="S826" t="s">
        <v>105</v>
      </c>
      <c r="T826" t="s">
        <v>114</v>
      </c>
    </row>
    <row r="827" spans="1:20">
      <c r="A827" t="s">
        <v>20</v>
      </c>
      <c r="B827" t="s">
        <v>27</v>
      </c>
      <c r="C827" t="s">
        <v>39</v>
      </c>
      <c r="E827" s="2">
        <v>46034.30609953704</v>
      </c>
      <c r="F827" s="2">
        <v>46034.30703703704</v>
      </c>
      <c r="G827" t="s">
        <v>50</v>
      </c>
      <c r="H827" t="s">
        <v>51</v>
      </c>
      <c r="I827">
        <v>7</v>
      </c>
      <c r="J827">
        <v>7</v>
      </c>
      <c r="K827" t="s">
        <v>52</v>
      </c>
      <c r="L827" t="s">
        <v>66</v>
      </c>
      <c r="O827">
        <v>81</v>
      </c>
      <c r="P827" t="s">
        <v>81</v>
      </c>
      <c r="Q827" t="s">
        <v>85</v>
      </c>
      <c r="R827" t="s">
        <v>93</v>
      </c>
      <c r="S827" t="s">
        <v>107</v>
      </c>
      <c r="T827" t="s">
        <v>114</v>
      </c>
    </row>
    <row r="828" spans="1:20">
      <c r="A828" t="s">
        <v>20</v>
      </c>
      <c r="B828" t="s">
        <v>27</v>
      </c>
      <c r="C828" t="s">
        <v>38</v>
      </c>
      <c r="E828" s="2">
        <v>46034.30703703704</v>
      </c>
      <c r="F828" s="2">
        <v>46034.3079050926</v>
      </c>
      <c r="G828" t="s">
        <v>50</v>
      </c>
      <c r="H828" t="s">
        <v>51</v>
      </c>
      <c r="I828">
        <v>7</v>
      </c>
      <c r="J828">
        <v>7</v>
      </c>
      <c r="K828" t="s">
        <v>52</v>
      </c>
      <c r="L828" t="s">
        <v>66</v>
      </c>
      <c r="O828">
        <v>75</v>
      </c>
      <c r="P828" t="s">
        <v>79</v>
      </c>
      <c r="Q828" t="s">
        <v>85</v>
      </c>
      <c r="R828" t="s">
        <v>91</v>
      </c>
      <c r="S828" t="s">
        <v>105</v>
      </c>
      <c r="T828" t="s">
        <v>114</v>
      </c>
    </row>
    <row r="829" spans="1:20">
      <c r="A829" t="s">
        <v>20</v>
      </c>
      <c r="B829" t="s">
        <v>27</v>
      </c>
      <c r="C829" t="s">
        <v>36</v>
      </c>
      <c r="E829" s="2">
        <v>46034.3079050926</v>
      </c>
      <c r="F829" s="2">
        <v>46034.31712962963</v>
      </c>
      <c r="G829" t="s">
        <v>50</v>
      </c>
      <c r="H829" t="s">
        <v>51</v>
      </c>
      <c r="I829">
        <v>7</v>
      </c>
      <c r="J829">
        <v>7</v>
      </c>
      <c r="K829" t="s">
        <v>52</v>
      </c>
      <c r="L829" t="s">
        <v>66</v>
      </c>
      <c r="O829">
        <v>797</v>
      </c>
      <c r="P829" t="s">
        <v>79</v>
      </c>
      <c r="Q829" t="s">
        <v>85</v>
      </c>
      <c r="R829" t="s">
        <v>91</v>
      </c>
      <c r="S829" t="s">
        <v>105</v>
      </c>
      <c r="T829" t="s">
        <v>114</v>
      </c>
    </row>
    <row r="830" spans="1:20">
      <c r="A830" t="s">
        <v>23</v>
      </c>
      <c r="B830" t="s">
        <v>30</v>
      </c>
      <c r="C830" t="s">
        <v>38</v>
      </c>
      <c r="E830" s="2">
        <v>46034.31391203704</v>
      </c>
      <c r="F830" s="2">
        <v>46034.31528935185</v>
      </c>
      <c r="G830" t="s">
        <v>50</v>
      </c>
      <c r="H830" t="s">
        <v>51</v>
      </c>
      <c r="I830">
        <v>7</v>
      </c>
      <c r="J830">
        <v>7</v>
      </c>
      <c r="K830" t="s">
        <v>55</v>
      </c>
      <c r="L830" t="s">
        <v>65</v>
      </c>
      <c r="M830" t="s">
        <v>69</v>
      </c>
      <c r="N830" t="s">
        <v>74</v>
      </c>
      <c r="O830">
        <v>119</v>
      </c>
      <c r="P830" t="s">
        <v>79</v>
      </c>
      <c r="Q830" t="s">
        <v>85</v>
      </c>
      <c r="R830" t="s">
        <v>91</v>
      </c>
      <c r="S830" t="s">
        <v>105</v>
      </c>
      <c r="T830" t="s">
        <v>114</v>
      </c>
    </row>
    <row r="831" spans="1:20">
      <c r="A831" t="s">
        <v>24</v>
      </c>
      <c r="B831" t="s">
        <v>31</v>
      </c>
      <c r="C831" t="s">
        <v>38</v>
      </c>
      <c r="E831" s="2">
        <v>46034.31395833333</v>
      </c>
      <c r="F831" s="2">
        <v>46034.31621527778</v>
      </c>
      <c r="G831" t="s">
        <v>50</v>
      </c>
      <c r="H831" t="s">
        <v>51</v>
      </c>
      <c r="I831">
        <v>7</v>
      </c>
      <c r="J831">
        <v>7</v>
      </c>
      <c r="K831" t="s">
        <v>56</v>
      </c>
      <c r="L831" t="s">
        <v>67</v>
      </c>
      <c r="N831" t="s">
        <v>74</v>
      </c>
      <c r="O831">
        <v>195</v>
      </c>
      <c r="P831" t="s">
        <v>79</v>
      </c>
      <c r="Q831" t="s">
        <v>85</v>
      </c>
      <c r="R831" t="s">
        <v>91</v>
      </c>
      <c r="S831" t="s">
        <v>105</v>
      </c>
      <c r="T831" t="s">
        <v>114</v>
      </c>
    </row>
    <row r="832" spans="1:20">
      <c r="A832" t="s">
        <v>23</v>
      </c>
      <c r="B832" t="s">
        <v>30</v>
      </c>
      <c r="C832" t="s">
        <v>37</v>
      </c>
      <c r="E832" s="2">
        <v>46034.31528935185</v>
      </c>
      <c r="F832" s="2">
        <v>46034.31530092593</v>
      </c>
      <c r="G832" t="s">
        <v>50</v>
      </c>
      <c r="H832" t="s">
        <v>51</v>
      </c>
      <c r="I832">
        <v>7</v>
      </c>
      <c r="J832">
        <v>7</v>
      </c>
      <c r="K832" t="s">
        <v>55</v>
      </c>
      <c r="L832" t="s">
        <v>65</v>
      </c>
      <c r="M832" t="s">
        <v>69</v>
      </c>
      <c r="N832" t="s">
        <v>74</v>
      </c>
      <c r="O832">
        <v>1</v>
      </c>
      <c r="P832" t="s">
        <v>81</v>
      </c>
      <c r="Q832" t="s">
        <v>85</v>
      </c>
      <c r="R832" t="s">
        <v>93</v>
      </c>
      <c r="S832" t="s">
        <v>107</v>
      </c>
      <c r="T832" t="s">
        <v>114</v>
      </c>
    </row>
    <row r="833" spans="1:20">
      <c r="A833" t="s">
        <v>23</v>
      </c>
      <c r="B833" t="s">
        <v>30</v>
      </c>
      <c r="C833" t="s">
        <v>37</v>
      </c>
      <c r="E833" s="2">
        <v>46034.31530092593</v>
      </c>
      <c r="F833" s="2">
        <v>46034.31554398148</v>
      </c>
      <c r="G833" t="s">
        <v>50</v>
      </c>
      <c r="H833" t="s">
        <v>51</v>
      </c>
      <c r="I833">
        <v>7</v>
      </c>
      <c r="J833">
        <v>7</v>
      </c>
      <c r="K833" t="s">
        <v>55</v>
      </c>
      <c r="L833" t="s">
        <v>65</v>
      </c>
      <c r="M833" t="s">
        <v>69</v>
      </c>
      <c r="N833" t="s">
        <v>75</v>
      </c>
      <c r="O833">
        <v>21</v>
      </c>
      <c r="P833" t="s">
        <v>81</v>
      </c>
      <c r="Q833" t="s">
        <v>85</v>
      </c>
      <c r="R833" t="s">
        <v>93</v>
      </c>
      <c r="S833" t="s">
        <v>107</v>
      </c>
      <c r="T833" t="s">
        <v>114</v>
      </c>
    </row>
    <row r="834" spans="1:20">
      <c r="A834" t="s">
        <v>23</v>
      </c>
      <c r="B834" t="s">
        <v>30</v>
      </c>
      <c r="C834" t="s">
        <v>37</v>
      </c>
      <c r="E834" s="2">
        <v>46034.31554398148</v>
      </c>
      <c r="F834" s="2">
        <v>46034.31555555556</v>
      </c>
      <c r="G834" t="s">
        <v>50</v>
      </c>
      <c r="H834" t="s">
        <v>51</v>
      </c>
      <c r="I834">
        <v>7</v>
      </c>
      <c r="J834">
        <v>7</v>
      </c>
      <c r="K834" t="s">
        <v>55</v>
      </c>
      <c r="L834" t="s">
        <v>65</v>
      </c>
      <c r="M834" t="s">
        <v>69</v>
      </c>
      <c r="N834" t="s">
        <v>74</v>
      </c>
      <c r="O834">
        <v>1</v>
      </c>
      <c r="P834" t="s">
        <v>81</v>
      </c>
      <c r="Q834" t="s">
        <v>85</v>
      </c>
      <c r="R834" t="s">
        <v>93</v>
      </c>
      <c r="S834" t="s">
        <v>107</v>
      </c>
      <c r="T834" t="s">
        <v>114</v>
      </c>
    </row>
    <row r="835" spans="1:20">
      <c r="A835" t="s">
        <v>23</v>
      </c>
      <c r="B835" t="s">
        <v>30</v>
      </c>
      <c r="C835" t="s">
        <v>39</v>
      </c>
      <c r="E835" s="2">
        <v>46034.31555555556</v>
      </c>
      <c r="F835" s="2">
        <v>46034.31935185185</v>
      </c>
      <c r="G835" t="s">
        <v>50</v>
      </c>
      <c r="H835" t="s">
        <v>51</v>
      </c>
      <c r="I835">
        <v>7</v>
      </c>
      <c r="J835">
        <v>7</v>
      </c>
      <c r="K835" t="s">
        <v>55</v>
      </c>
      <c r="L835" t="s">
        <v>65</v>
      </c>
      <c r="M835" t="s">
        <v>69</v>
      </c>
      <c r="N835" t="s">
        <v>74</v>
      </c>
      <c r="O835">
        <v>328</v>
      </c>
      <c r="P835" t="s">
        <v>81</v>
      </c>
      <c r="Q835" t="s">
        <v>85</v>
      </c>
      <c r="R835" t="s">
        <v>93</v>
      </c>
      <c r="S835" t="s">
        <v>107</v>
      </c>
      <c r="T835" t="s">
        <v>114</v>
      </c>
    </row>
    <row r="836" spans="1:20">
      <c r="A836" t="s">
        <v>24</v>
      </c>
      <c r="B836" t="s">
        <v>31</v>
      </c>
      <c r="C836" t="s">
        <v>37</v>
      </c>
      <c r="E836" s="2">
        <v>46034.31621527778</v>
      </c>
      <c r="F836" s="2">
        <v>46034.31667824074</v>
      </c>
      <c r="G836" t="s">
        <v>50</v>
      </c>
      <c r="H836" t="s">
        <v>51</v>
      </c>
      <c r="I836">
        <v>7</v>
      </c>
      <c r="J836">
        <v>7</v>
      </c>
      <c r="K836" t="s">
        <v>56</v>
      </c>
      <c r="L836" t="s">
        <v>67</v>
      </c>
      <c r="N836" t="s">
        <v>75</v>
      </c>
      <c r="O836">
        <v>40</v>
      </c>
      <c r="P836" t="s">
        <v>81</v>
      </c>
      <c r="Q836" t="s">
        <v>85</v>
      </c>
      <c r="R836" t="s">
        <v>93</v>
      </c>
      <c r="S836" t="s">
        <v>107</v>
      </c>
      <c r="T836" t="s">
        <v>114</v>
      </c>
    </row>
    <row r="837" spans="1:20">
      <c r="A837" t="s">
        <v>24</v>
      </c>
      <c r="B837" t="s">
        <v>31</v>
      </c>
      <c r="C837" t="s">
        <v>37</v>
      </c>
      <c r="E837" s="2">
        <v>46034.31667824074</v>
      </c>
      <c r="F837" s="2">
        <v>46034.31671296297</v>
      </c>
      <c r="G837" t="s">
        <v>50</v>
      </c>
      <c r="H837" t="s">
        <v>51</v>
      </c>
      <c r="I837">
        <v>7</v>
      </c>
      <c r="J837">
        <v>7</v>
      </c>
      <c r="K837" t="s">
        <v>56</v>
      </c>
      <c r="L837" t="s">
        <v>67</v>
      </c>
      <c r="N837" t="s">
        <v>74</v>
      </c>
      <c r="O837">
        <v>3</v>
      </c>
      <c r="P837" t="s">
        <v>81</v>
      </c>
      <c r="Q837" t="s">
        <v>85</v>
      </c>
      <c r="R837" t="s">
        <v>93</v>
      </c>
      <c r="S837" t="s">
        <v>107</v>
      </c>
      <c r="T837" t="s">
        <v>114</v>
      </c>
    </row>
    <row r="838" spans="1:20">
      <c r="A838" t="s">
        <v>24</v>
      </c>
      <c r="B838" t="s">
        <v>31</v>
      </c>
      <c r="C838" t="s">
        <v>39</v>
      </c>
      <c r="E838" s="2">
        <v>46034.31671296297</v>
      </c>
      <c r="F838" s="2">
        <v>46034.31930555555</v>
      </c>
      <c r="G838" t="s">
        <v>50</v>
      </c>
      <c r="H838" t="s">
        <v>51</v>
      </c>
      <c r="I838">
        <v>7</v>
      </c>
      <c r="J838">
        <v>7</v>
      </c>
      <c r="K838" t="s">
        <v>56</v>
      </c>
      <c r="L838" t="s">
        <v>67</v>
      </c>
      <c r="N838" t="s">
        <v>74</v>
      </c>
      <c r="O838">
        <v>224</v>
      </c>
      <c r="P838" t="s">
        <v>81</v>
      </c>
      <c r="Q838" t="s">
        <v>85</v>
      </c>
      <c r="R838" t="s">
        <v>93</v>
      </c>
      <c r="S838" t="s">
        <v>107</v>
      </c>
      <c r="T838" t="s">
        <v>114</v>
      </c>
    </row>
    <row r="839" spans="1:20">
      <c r="A839" t="s">
        <v>20</v>
      </c>
      <c r="B839" t="s">
        <v>27</v>
      </c>
      <c r="C839" t="s">
        <v>38</v>
      </c>
      <c r="E839" s="2">
        <v>46034.31712962963</v>
      </c>
      <c r="F839" s="2">
        <v>46034.31784722222</v>
      </c>
      <c r="G839" t="s">
        <v>50</v>
      </c>
      <c r="H839" t="s">
        <v>51</v>
      </c>
      <c r="I839">
        <v>7</v>
      </c>
      <c r="J839">
        <v>7</v>
      </c>
      <c r="K839" t="s">
        <v>52</v>
      </c>
      <c r="L839" t="s">
        <v>66</v>
      </c>
      <c r="O839">
        <v>62</v>
      </c>
      <c r="P839" t="s">
        <v>79</v>
      </c>
      <c r="Q839" t="s">
        <v>85</v>
      </c>
      <c r="R839" t="s">
        <v>91</v>
      </c>
      <c r="S839" t="s">
        <v>105</v>
      </c>
      <c r="T839" t="s">
        <v>114</v>
      </c>
    </row>
    <row r="840" spans="1:20">
      <c r="A840" t="s">
        <v>20</v>
      </c>
      <c r="B840" t="s">
        <v>27</v>
      </c>
      <c r="C840" t="s">
        <v>39</v>
      </c>
      <c r="E840" s="2">
        <v>46034.31784722222</v>
      </c>
      <c r="F840" s="2">
        <v>46034.31862268518</v>
      </c>
      <c r="G840" t="s">
        <v>50</v>
      </c>
      <c r="H840" t="s">
        <v>51</v>
      </c>
      <c r="I840">
        <v>7</v>
      </c>
      <c r="J840">
        <v>7</v>
      </c>
      <c r="K840" t="s">
        <v>52</v>
      </c>
      <c r="L840" t="s">
        <v>66</v>
      </c>
      <c r="O840">
        <v>67</v>
      </c>
      <c r="P840" t="s">
        <v>81</v>
      </c>
      <c r="Q840" t="s">
        <v>85</v>
      </c>
      <c r="R840" t="s">
        <v>93</v>
      </c>
      <c r="S840" t="s">
        <v>107</v>
      </c>
      <c r="T840" t="s">
        <v>114</v>
      </c>
    </row>
    <row r="841" spans="1:20">
      <c r="A841" t="s">
        <v>20</v>
      </c>
      <c r="B841" t="s">
        <v>27</v>
      </c>
      <c r="C841" t="s">
        <v>38</v>
      </c>
      <c r="E841" s="2">
        <v>46034.31862268518</v>
      </c>
      <c r="F841" s="2">
        <v>46034.319375</v>
      </c>
      <c r="G841" t="s">
        <v>50</v>
      </c>
      <c r="H841" t="s">
        <v>51</v>
      </c>
      <c r="I841">
        <v>7</v>
      </c>
      <c r="J841">
        <v>7</v>
      </c>
      <c r="K841" t="s">
        <v>52</v>
      </c>
      <c r="L841" t="s">
        <v>66</v>
      </c>
      <c r="O841">
        <v>65</v>
      </c>
      <c r="P841" t="s">
        <v>79</v>
      </c>
      <c r="Q841" t="s">
        <v>85</v>
      </c>
      <c r="R841" t="s">
        <v>91</v>
      </c>
      <c r="S841" t="s">
        <v>105</v>
      </c>
      <c r="T841" t="s">
        <v>114</v>
      </c>
    </row>
    <row r="842" spans="1:20">
      <c r="A842" t="s">
        <v>22</v>
      </c>
      <c r="B842" t="s">
        <v>29</v>
      </c>
      <c r="C842" t="s">
        <v>38</v>
      </c>
      <c r="E842" s="2">
        <v>46034.31895833334</v>
      </c>
      <c r="F842" s="2">
        <v>46034.31932870371</v>
      </c>
      <c r="G842" t="s">
        <v>50</v>
      </c>
      <c r="H842" t="s">
        <v>51</v>
      </c>
      <c r="I842">
        <v>7</v>
      </c>
      <c r="J842">
        <v>7</v>
      </c>
      <c r="K842" t="s">
        <v>54</v>
      </c>
      <c r="L842" t="s">
        <v>64</v>
      </c>
      <c r="M842" t="s">
        <v>69</v>
      </c>
      <c r="N842" t="s">
        <v>74</v>
      </c>
      <c r="O842">
        <v>32</v>
      </c>
      <c r="P842" t="s">
        <v>79</v>
      </c>
      <c r="Q842" t="s">
        <v>85</v>
      </c>
      <c r="R842" t="s">
        <v>91</v>
      </c>
      <c r="S842" t="s">
        <v>105</v>
      </c>
      <c r="T842" t="s">
        <v>114</v>
      </c>
    </row>
    <row r="843" spans="1:20">
      <c r="A843" t="s">
        <v>26</v>
      </c>
      <c r="B843" t="s">
        <v>33</v>
      </c>
      <c r="C843" t="s">
        <v>37</v>
      </c>
      <c r="E843" s="2">
        <v>46034.31900462963</v>
      </c>
      <c r="F843" s="2">
        <v>46034.31902777778</v>
      </c>
      <c r="G843" t="s">
        <v>50</v>
      </c>
      <c r="H843" t="s">
        <v>51</v>
      </c>
      <c r="I843">
        <v>7</v>
      </c>
      <c r="J843">
        <v>7</v>
      </c>
      <c r="L843" t="s">
        <v>63</v>
      </c>
      <c r="M843" t="s">
        <v>71</v>
      </c>
      <c r="N843" t="s">
        <v>74</v>
      </c>
      <c r="O843">
        <v>2</v>
      </c>
      <c r="P843" t="s">
        <v>81</v>
      </c>
      <c r="Q843" t="s">
        <v>85</v>
      </c>
      <c r="R843" t="s">
        <v>93</v>
      </c>
      <c r="S843" t="s">
        <v>107</v>
      </c>
      <c r="T843" t="s">
        <v>114</v>
      </c>
    </row>
    <row r="844" spans="1:20">
      <c r="A844" t="s">
        <v>26</v>
      </c>
      <c r="B844" t="s">
        <v>33</v>
      </c>
      <c r="C844" t="s">
        <v>37</v>
      </c>
      <c r="E844" s="2">
        <v>46034.31902777778</v>
      </c>
      <c r="F844" s="2">
        <v>46034.31927083333</v>
      </c>
      <c r="G844" t="s">
        <v>50</v>
      </c>
      <c r="H844" t="s">
        <v>51</v>
      </c>
      <c r="I844">
        <v>7</v>
      </c>
      <c r="J844">
        <v>7</v>
      </c>
      <c r="L844" t="s">
        <v>63</v>
      </c>
      <c r="M844" t="s">
        <v>73</v>
      </c>
      <c r="N844" t="s">
        <v>75</v>
      </c>
      <c r="O844">
        <v>21</v>
      </c>
      <c r="P844" t="s">
        <v>81</v>
      </c>
      <c r="Q844" t="s">
        <v>85</v>
      </c>
      <c r="R844" t="s">
        <v>93</v>
      </c>
      <c r="S844" t="s">
        <v>107</v>
      </c>
      <c r="T844" t="s">
        <v>114</v>
      </c>
    </row>
    <row r="845" spans="1:20">
      <c r="A845" t="s">
        <v>26</v>
      </c>
      <c r="B845" t="s">
        <v>33</v>
      </c>
      <c r="C845" t="s">
        <v>37</v>
      </c>
      <c r="E845" s="2">
        <v>46034.31927083333</v>
      </c>
      <c r="F845" s="2">
        <v>46034.31954861111</v>
      </c>
      <c r="G845" t="s">
        <v>50</v>
      </c>
      <c r="H845" t="s">
        <v>51</v>
      </c>
      <c r="I845">
        <v>7</v>
      </c>
      <c r="J845">
        <v>7</v>
      </c>
      <c r="L845" t="s">
        <v>63</v>
      </c>
      <c r="M845" t="s">
        <v>71</v>
      </c>
      <c r="N845" t="s">
        <v>74</v>
      </c>
      <c r="O845">
        <v>24</v>
      </c>
      <c r="P845" t="s">
        <v>81</v>
      </c>
      <c r="Q845" t="s">
        <v>85</v>
      </c>
      <c r="R845" t="s">
        <v>93</v>
      </c>
      <c r="S845" t="s">
        <v>107</v>
      </c>
      <c r="T845" t="s">
        <v>114</v>
      </c>
    </row>
    <row r="846" spans="1:20">
      <c r="A846" t="s">
        <v>24</v>
      </c>
      <c r="B846" t="s">
        <v>31</v>
      </c>
      <c r="C846" t="s">
        <v>37</v>
      </c>
      <c r="E846" s="2">
        <v>46034.31930555555</v>
      </c>
      <c r="F846" s="2">
        <v>46034.31969907408</v>
      </c>
      <c r="G846" t="s">
        <v>50</v>
      </c>
      <c r="H846" t="s">
        <v>51</v>
      </c>
      <c r="I846">
        <v>7</v>
      </c>
      <c r="J846">
        <v>7</v>
      </c>
      <c r="K846" t="s">
        <v>56</v>
      </c>
      <c r="L846" t="s">
        <v>67</v>
      </c>
      <c r="N846" t="s">
        <v>74</v>
      </c>
      <c r="O846">
        <v>34</v>
      </c>
      <c r="P846" t="s">
        <v>81</v>
      </c>
      <c r="Q846" t="s">
        <v>85</v>
      </c>
      <c r="R846" t="s">
        <v>93</v>
      </c>
      <c r="S846" t="s">
        <v>107</v>
      </c>
      <c r="T846" t="s">
        <v>114</v>
      </c>
    </row>
    <row r="847" spans="1:20">
      <c r="A847" t="s">
        <v>22</v>
      </c>
      <c r="B847" t="s">
        <v>29</v>
      </c>
      <c r="C847" t="s">
        <v>37</v>
      </c>
      <c r="E847" s="2">
        <v>46034.31932870371</v>
      </c>
      <c r="F847" s="2">
        <v>46034.3197337963</v>
      </c>
      <c r="G847" t="s">
        <v>50</v>
      </c>
      <c r="H847" t="s">
        <v>51</v>
      </c>
      <c r="I847">
        <v>7</v>
      </c>
      <c r="J847">
        <v>7</v>
      </c>
      <c r="K847" t="s">
        <v>54</v>
      </c>
      <c r="L847" t="s">
        <v>64</v>
      </c>
      <c r="M847" t="s">
        <v>69</v>
      </c>
      <c r="N847" t="s">
        <v>74</v>
      </c>
      <c r="O847">
        <v>35</v>
      </c>
      <c r="P847" t="s">
        <v>81</v>
      </c>
      <c r="Q847" t="s">
        <v>85</v>
      </c>
      <c r="R847" t="s">
        <v>93</v>
      </c>
      <c r="S847" t="s">
        <v>107</v>
      </c>
      <c r="T847" t="s">
        <v>114</v>
      </c>
    </row>
    <row r="848" spans="1:20">
      <c r="A848" t="s">
        <v>23</v>
      </c>
      <c r="B848" t="s">
        <v>30</v>
      </c>
      <c r="C848" t="s">
        <v>37</v>
      </c>
      <c r="E848" s="2">
        <v>46034.31935185185</v>
      </c>
      <c r="F848" s="2">
        <v>46034.31939814815</v>
      </c>
      <c r="G848" t="s">
        <v>50</v>
      </c>
      <c r="H848" t="s">
        <v>51</v>
      </c>
      <c r="I848">
        <v>7</v>
      </c>
      <c r="J848">
        <v>7</v>
      </c>
      <c r="K848" t="s">
        <v>55</v>
      </c>
      <c r="L848" t="s">
        <v>65</v>
      </c>
      <c r="M848" t="s">
        <v>69</v>
      </c>
      <c r="N848" t="s">
        <v>74</v>
      </c>
      <c r="O848">
        <v>4</v>
      </c>
      <c r="P848" t="s">
        <v>81</v>
      </c>
      <c r="Q848" t="s">
        <v>85</v>
      </c>
      <c r="R848" t="s">
        <v>93</v>
      </c>
      <c r="S848" t="s">
        <v>107</v>
      </c>
      <c r="T848" t="s">
        <v>114</v>
      </c>
    </row>
    <row r="849" spans="1:20">
      <c r="A849" t="s">
        <v>20</v>
      </c>
      <c r="B849" t="s">
        <v>27</v>
      </c>
      <c r="C849" t="s">
        <v>36</v>
      </c>
      <c r="E849" s="2">
        <v>46034.319375</v>
      </c>
      <c r="F849" s="2">
        <v>46034.32940972222</v>
      </c>
      <c r="G849" t="s">
        <v>50</v>
      </c>
      <c r="H849" t="s">
        <v>51</v>
      </c>
      <c r="I849">
        <v>7</v>
      </c>
      <c r="J849">
        <v>7</v>
      </c>
      <c r="K849" t="s">
        <v>52</v>
      </c>
      <c r="L849" t="s">
        <v>66</v>
      </c>
      <c r="O849">
        <v>867</v>
      </c>
      <c r="P849" t="s">
        <v>79</v>
      </c>
      <c r="Q849" t="s">
        <v>85</v>
      </c>
      <c r="R849" t="s">
        <v>91</v>
      </c>
      <c r="S849" t="s">
        <v>105</v>
      </c>
      <c r="T849" t="s">
        <v>114</v>
      </c>
    </row>
    <row r="850" spans="1:20">
      <c r="A850" t="s">
        <v>23</v>
      </c>
      <c r="B850" t="s">
        <v>30</v>
      </c>
      <c r="C850" t="s">
        <v>39</v>
      </c>
      <c r="E850" s="2">
        <v>46034.31939814815</v>
      </c>
      <c r="F850" s="2">
        <v>46034.31953703704</v>
      </c>
      <c r="G850" t="s">
        <v>50</v>
      </c>
      <c r="H850" t="s">
        <v>51</v>
      </c>
      <c r="I850">
        <v>7</v>
      </c>
      <c r="J850">
        <v>7</v>
      </c>
      <c r="K850" t="s">
        <v>55</v>
      </c>
      <c r="L850" t="s">
        <v>65</v>
      </c>
      <c r="M850" t="s">
        <v>69</v>
      </c>
      <c r="N850" t="s">
        <v>74</v>
      </c>
      <c r="O850">
        <v>12</v>
      </c>
      <c r="P850" t="s">
        <v>81</v>
      </c>
      <c r="Q850" t="s">
        <v>85</v>
      </c>
      <c r="R850" t="s">
        <v>93</v>
      </c>
      <c r="S850" t="s">
        <v>107</v>
      </c>
      <c r="T850" t="s">
        <v>114</v>
      </c>
    </row>
    <row r="851" spans="1:20">
      <c r="A851" t="s">
        <v>23</v>
      </c>
      <c r="B851" t="s">
        <v>30</v>
      </c>
      <c r="C851" t="s">
        <v>37</v>
      </c>
      <c r="E851" s="2">
        <v>46034.31953703704</v>
      </c>
      <c r="F851" s="2">
        <v>46034.31960648148</v>
      </c>
      <c r="G851" t="s">
        <v>50</v>
      </c>
      <c r="H851" t="s">
        <v>51</v>
      </c>
      <c r="I851">
        <v>7</v>
      </c>
      <c r="J851">
        <v>7</v>
      </c>
      <c r="K851" t="s">
        <v>55</v>
      </c>
      <c r="L851" t="s">
        <v>65</v>
      </c>
      <c r="M851" t="s">
        <v>69</v>
      </c>
      <c r="N851" t="s">
        <v>74</v>
      </c>
      <c r="O851">
        <v>6</v>
      </c>
      <c r="P851" t="s">
        <v>81</v>
      </c>
      <c r="Q851" t="s">
        <v>85</v>
      </c>
      <c r="R851" t="s">
        <v>93</v>
      </c>
      <c r="S851" t="s">
        <v>107</v>
      </c>
      <c r="T851" t="s">
        <v>114</v>
      </c>
    </row>
    <row r="852" spans="1:20">
      <c r="A852" t="s">
        <v>26</v>
      </c>
      <c r="B852" t="s">
        <v>33</v>
      </c>
      <c r="C852" t="s">
        <v>39</v>
      </c>
      <c r="E852" s="2">
        <v>46034.31954861111</v>
      </c>
      <c r="F852" s="2">
        <v>46034.32083333333</v>
      </c>
      <c r="G852" t="s">
        <v>50</v>
      </c>
      <c r="H852" t="s">
        <v>51</v>
      </c>
      <c r="I852">
        <v>7</v>
      </c>
      <c r="J852">
        <v>7</v>
      </c>
      <c r="L852" t="s">
        <v>63</v>
      </c>
      <c r="M852" t="s">
        <v>71</v>
      </c>
      <c r="N852" t="s">
        <v>74</v>
      </c>
      <c r="O852">
        <v>111</v>
      </c>
      <c r="P852" t="s">
        <v>81</v>
      </c>
      <c r="Q852" t="s">
        <v>85</v>
      </c>
      <c r="R852" t="s">
        <v>93</v>
      </c>
      <c r="S852" t="s">
        <v>107</v>
      </c>
      <c r="T852" t="s">
        <v>114</v>
      </c>
    </row>
    <row r="853" spans="1:20">
      <c r="A853" t="s">
        <v>23</v>
      </c>
      <c r="B853" t="s">
        <v>30</v>
      </c>
      <c r="C853" t="s">
        <v>37</v>
      </c>
      <c r="E853" s="2">
        <v>46034.31960648148</v>
      </c>
      <c r="F853" s="2">
        <v>46034.32001157408</v>
      </c>
      <c r="G853" t="s">
        <v>50</v>
      </c>
      <c r="H853" t="s">
        <v>51</v>
      </c>
      <c r="I853">
        <v>7</v>
      </c>
      <c r="J853">
        <v>7</v>
      </c>
      <c r="K853" t="s">
        <v>55</v>
      </c>
      <c r="L853" t="s">
        <v>65</v>
      </c>
      <c r="M853" t="s">
        <v>69</v>
      </c>
      <c r="N853" t="s">
        <v>76</v>
      </c>
      <c r="O853">
        <v>35</v>
      </c>
      <c r="P853" t="s">
        <v>81</v>
      </c>
      <c r="Q853" t="s">
        <v>85</v>
      </c>
      <c r="R853" t="s">
        <v>93</v>
      </c>
      <c r="S853" t="s">
        <v>107</v>
      </c>
      <c r="T853" t="s">
        <v>114</v>
      </c>
    </row>
    <row r="854" spans="1:20">
      <c r="A854" t="s">
        <v>24</v>
      </c>
      <c r="B854" t="s">
        <v>31</v>
      </c>
      <c r="C854" t="s">
        <v>38</v>
      </c>
      <c r="E854" s="2">
        <v>46034.31969907408</v>
      </c>
      <c r="F854" s="2">
        <v>46034.31983796296</v>
      </c>
      <c r="G854" t="s">
        <v>50</v>
      </c>
      <c r="H854" t="s">
        <v>51</v>
      </c>
      <c r="I854">
        <v>7</v>
      </c>
      <c r="J854">
        <v>7</v>
      </c>
      <c r="K854" t="s">
        <v>56</v>
      </c>
      <c r="L854" t="s">
        <v>67</v>
      </c>
      <c r="N854" t="s">
        <v>74</v>
      </c>
      <c r="O854">
        <v>12</v>
      </c>
      <c r="P854" t="s">
        <v>79</v>
      </c>
      <c r="Q854" t="s">
        <v>85</v>
      </c>
      <c r="R854" t="s">
        <v>91</v>
      </c>
      <c r="S854" t="s">
        <v>105</v>
      </c>
      <c r="T854" t="s">
        <v>114</v>
      </c>
    </row>
    <row r="855" spans="1:20">
      <c r="A855" t="s">
        <v>22</v>
      </c>
      <c r="B855" t="s">
        <v>29</v>
      </c>
      <c r="C855" t="s">
        <v>39</v>
      </c>
      <c r="E855" s="2">
        <v>46034.3197337963</v>
      </c>
      <c r="F855" s="2">
        <v>46034.32122685185</v>
      </c>
      <c r="G855" t="s">
        <v>50</v>
      </c>
      <c r="H855" t="s">
        <v>51</v>
      </c>
      <c r="I855">
        <v>7</v>
      </c>
      <c r="J855">
        <v>7</v>
      </c>
      <c r="K855" t="s">
        <v>54</v>
      </c>
      <c r="L855" t="s">
        <v>64</v>
      </c>
      <c r="M855" t="s">
        <v>69</v>
      </c>
      <c r="N855" t="s">
        <v>74</v>
      </c>
      <c r="O855">
        <v>129</v>
      </c>
      <c r="P855" t="s">
        <v>81</v>
      </c>
      <c r="Q855" t="s">
        <v>85</v>
      </c>
      <c r="R855" t="s">
        <v>93</v>
      </c>
      <c r="S855" t="s">
        <v>107</v>
      </c>
      <c r="T855" t="s">
        <v>114</v>
      </c>
    </row>
    <row r="856" spans="1:20">
      <c r="A856" t="s">
        <v>24</v>
      </c>
      <c r="B856" t="s">
        <v>31</v>
      </c>
      <c r="C856" t="s">
        <v>36</v>
      </c>
      <c r="E856" s="2">
        <v>46034.31983796296</v>
      </c>
      <c r="F856" s="2">
        <v>46034.33333333334</v>
      </c>
      <c r="G856" t="s">
        <v>50</v>
      </c>
      <c r="H856" t="s">
        <v>51</v>
      </c>
      <c r="I856">
        <v>7</v>
      </c>
      <c r="J856">
        <v>7</v>
      </c>
      <c r="K856" t="s">
        <v>56</v>
      </c>
      <c r="L856" t="s">
        <v>67</v>
      </c>
      <c r="N856" t="s">
        <v>74</v>
      </c>
      <c r="O856">
        <v>1166</v>
      </c>
      <c r="P856" t="s">
        <v>79</v>
      </c>
      <c r="Q856" t="s">
        <v>85</v>
      </c>
      <c r="R856" t="s">
        <v>91</v>
      </c>
      <c r="S856" t="s">
        <v>105</v>
      </c>
      <c r="T856" t="s">
        <v>114</v>
      </c>
    </row>
    <row r="857" spans="1:20">
      <c r="A857" t="s">
        <v>23</v>
      </c>
      <c r="B857" t="s">
        <v>30</v>
      </c>
      <c r="C857" t="s">
        <v>37</v>
      </c>
      <c r="E857" s="2">
        <v>46034.32001157408</v>
      </c>
      <c r="F857" s="2">
        <v>46034.32003472222</v>
      </c>
      <c r="G857" t="s">
        <v>50</v>
      </c>
      <c r="H857" t="s">
        <v>51</v>
      </c>
      <c r="I857">
        <v>7</v>
      </c>
      <c r="J857">
        <v>7</v>
      </c>
      <c r="K857" t="s">
        <v>55</v>
      </c>
      <c r="L857" t="s">
        <v>65</v>
      </c>
      <c r="M857" t="s">
        <v>69</v>
      </c>
      <c r="N857" t="s">
        <v>74</v>
      </c>
      <c r="O857">
        <v>2</v>
      </c>
      <c r="P857" t="s">
        <v>81</v>
      </c>
      <c r="Q857" t="s">
        <v>85</v>
      </c>
      <c r="R857" t="s">
        <v>93</v>
      </c>
      <c r="S857" t="s">
        <v>107</v>
      </c>
      <c r="T857" t="s">
        <v>114</v>
      </c>
    </row>
    <row r="858" spans="1:20">
      <c r="A858" t="s">
        <v>23</v>
      </c>
      <c r="B858" t="s">
        <v>30</v>
      </c>
      <c r="C858" t="s">
        <v>38</v>
      </c>
      <c r="E858" s="2">
        <v>46034.32003472222</v>
      </c>
      <c r="F858" s="2">
        <v>46034.32016203704</v>
      </c>
      <c r="G858" t="s">
        <v>50</v>
      </c>
      <c r="H858" t="s">
        <v>51</v>
      </c>
      <c r="I858">
        <v>7</v>
      </c>
      <c r="J858">
        <v>7</v>
      </c>
      <c r="K858" t="s">
        <v>55</v>
      </c>
      <c r="L858" t="s">
        <v>65</v>
      </c>
      <c r="M858" t="s">
        <v>69</v>
      </c>
      <c r="N858" t="s">
        <v>74</v>
      </c>
      <c r="O858">
        <v>11</v>
      </c>
      <c r="P858" t="s">
        <v>79</v>
      </c>
      <c r="Q858" t="s">
        <v>85</v>
      </c>
      <c r="R858" t="s">
        <v>91</v>
      </c>
      <c r="S858" t="s">
        <v>105</v>
      </c>
      <c r="T858" t="s">
        <v>114</v>
      </c>
    </row>
    <row r="859" spans="1:20">
      <c r="A859" t="s">
        <v>23</v>
      </c>
      <c r="B859" t="s">
        <v>30</v>
      </c>
      <c r="C859" t="s">
        <v>36</v>
      </c>
      <c r="E859" s="2">
        <v>46034.32016203704</v>
      </c>
      <c r="F859" s="2">
        <v>46034.33333333334</v>
      </c>
      <c r="G859" t="s">
        <v>50</v>
      </c>
      <c r="H859" t="s">
        <v>51</v>
      </c>
      <c r="I859">
        <v>7</v>
      </c>
      <c r="J859">
        <v>7</v>
      </c>
      <c r="K859" t="s">
        <v>55</v>
      </c>
      <c r="L859" t="s">
        <v>65</v>
      </c>
      <c r="M859" t="s">
        <v>69</v>
      </c>
      <c r="N859" t="s">
        <v>74</v>
      </c>
      <c r="O859">
        <v>1138</v>
      </c>
      <c r="P859" t="s">
        <v>79</v>
      </c>
      <c r="Q859" t="s">
        <v>85</v>
      </c>
      <c r="R859" t="s">
        <v>91</v>
      </c>
      <c r="S859" t="s">
        <v>105</v>
      </c>
      <c r="T859" t="s">
        <v>114</v>
      </c>
    </row>
    <row r="860" spans="1:20">
      <c r="A860" t="s">
        <v>26</v>
      </c>
      <c r="B860" t="s">
        <v>33</v>
      </c>
      <c r="C860" t="s">
        <v>37</v>
      </c>
      <c r="E860" s="2">
        <v>46034.32083333333</v>
      </c>
      <c r="F860" s="2">
        <v>46034.32084490741</v>
      </c>
      <c r="G860" t="s">
        <v>50</v>
      </c>
      <c r="H860" t="s">
        <v>51</v>
      </c>
      <c r="I860">
        <v>7</v>
      </c>
      <c r="J860">
        <v>7</v>
      </c>
      <c r="L860" t="s">
        <v>63</v>
      </c>
      <c r="M860" t="s">
        <v>71</v>
      </c>
      <c r="N860" t="s">
        <v>74</v>
      </c>
      <c r="O860">
        <v>1</v>
      </c>
      <c r="P860" t="s">
        <v>81</v>
      </c>
      <c r="Q860" t="s">
        <v>85</v>
      </c>
      <c r="R860" t="s">
        <v>93</v>
      </c>
      <c r="S860" t="s">
        <v>107</v>
      </c>
      <c r="T860" t="s">
        <v>114</v>
      </c>
    </row>
    <row r="861" spans="1:20">
      <c r="A861" t="s">
        <v>26</v>
      </c>
      <c r="B861" t="s">
        <v>33</v>
      </c>
      <c r="C861" t="s">
        <v>37</v>
      </c>
      <c r="E861" s="2">
        <v>46034.32084490741</v>
      </c>
      <c r="F861" s="2">
        <v>46034.32130787037</v>
      </c>
      <c r="G861" t="s">
        <v>50</v>
      </c>
      <c r="H861" t="s">
        <v>51</v>
      </c>
      <c r="I861">
        <v>7</v>
      </c>
      <c r="J861">
        <v>7</v>
      </c>
      <c r="L861" t="s">
        <v>63</v>
      </c>
      <c r="M861" t="s">
        <v>73</v>
      </c>
      <c r="N861" t="s">
        <v>76</v>
      </c>
      <c r="O861">
        <v>40</v>
      </c>
      <c r="P861" t="s">
        <v>81</v>
      </c>
      <c r="Q861" t="s">
        <v>85</v>
      </c>
      <c r="R861" t="s">
        <v>93</v>
      </c>
      <c r="S861" t="s">
        <v>107</v>
      </c>
      <c r="T861" t="s">
        <v>114</v>
      </c>
    </row>
    <row r="862" spans="1:20">
      <c r="A862" t="s">
        <v>22</v>
      </c>
      <c r="B862" t="s">
        <v>29</v>
      </c>
      <c r="C862" t="s">
        <v>37</v>
      </c>
      <c r="E862" s="2">
        <v>46034.32122685185</v>
      </c>
      <c r="F862" s="2">
        <v>46034.32216435186</v>
      </c>
      <c r="G862" t="s">
        <v>50</v>
      </c>
      <c r="H862" t="s">
        <v>51</v>
      </c>
      <c r="I862">
        <v>7</v>
      </c>
      <c r="J862">
        <v>7</v>
      </c>
      <c r="K862" t="s">
        <v>54</v>
      </c>
      <c r="L862" t="s">
        <v>64</v>
      </c>
      <c r="M862" t="s">
        <v>69</v>
      </c>
      <c r="N862" t="s">
        <v>74</v>
      </c>
      <c r="O862">
        <v>81</v>
      </c>
      <c r="P862" t="s">
        <v>81</v>
      </c>
      <c r="Q862" t="s">
        <v>85</v>
      </c>
      <c r="R862" t="s">
        <v>93</v>
      </c>
      <c r="S862" t="s">
        <v>107</v>
      </c>
      <c r="T862" t="s">
        <v>114</v>
      </c>
    </row>
    <row r="863" spans="1:20">
      <c r="A863" t="s">
        <v>26</v>
      </c>
      <c r="B863" t="s">
        <v>33</v>
      </c>
      <c r="C863" t="s">
        <v>37</v>
      </c>
      <c r="E863" s="2">
        <v>46034.32130787037</v>
      </c>
      <c r="F863" s="2">
        <v>46034.32259259259</v>
      </c>
      <c r="G863" t="s">
        <v>50</v>
      </c>
      <c r="H863" t="s">
        <v>51</v>
      </c>
      <c r="I863">
        <v>7</v>
      </c>
      <c r="J863">
        <v>7</v>
      </c>
      <c r="L863" t="s">
        <v>63</v>
      </c>
      <c r="M863" t="s">
        <v>71</v>
      </c>
      <c r="N863" t="s">
        <v>74</v>
      </c>
      <c r="O863">
        <v>111</v>
      </c>
      <c r="P863" t="s">
        <v>81</v>
      </c>
      <c r="Q863" t="s">
        <v>85</v>
      </c>
      <c r="R863" t="s">
        <v>93</v>
      </c>
      <c r="S863" t="s">
        <v>107</v>
      </c>
      <c r="T863" t="s">
        <v>114</v>
      </c>
    </row>
    <row r="864" spans="1:20">
      <c r="A864" t="s">
        <v>22</v>
      </c>
      <c r="B864" t="s">
        <v>29</v>
      </c>
      <c r="C864" t="s">
        <v>38</v>
      </c>
      <c r="E864" s="2">
        <v>46034.32216435186</v>
      </c>
      <c r="F864" s="2">
        <v>46034.32230324074</v>
      </c>
      <c r="G864" t="s">
        <v>50</v>
      </c>
      <c r="H864" t="s">
        <v>51</v>
      </c>
      <c r="I864">
        <v>7</v>
      </c>
      <c r="J864">
        <v>7</v>
      </c>
      <c r="K864" t="s">
        <v>54</v>
      </c>
      <c r="L864" t="s">
        <v>64</v>
      </c>
      <c r="M864" t="s">
        <v>69</v>
      </c>
      <c r="N864" t="s">
        <v>74</v>
      </c>
      <c r="O864">
        <v>12</v>
      </c>
      <c r="P864" t="s">
        <v>79</v>
      </c>
      <c r="Q864" t="s">
        <v>85</v>
      </c>
      <c r="R864" t="s">
        <v>91</v>
      </c>
      <c r="S864" t="s">
        <v>105</v>
      </c>
      <c r="T864" t="s">
        <v>114</v>
      </c>
    </row>
    <row r="865" spans="1:20">
      <c r="A865" t="s">
        <v>22</v>
      </c>
      <c r="B865" t="s">
        <v>29</v>
      </c>
      <c r="C865" t="s">
        <v>36</v>
      </c>
      <c r="E865" s="2">
        <v>46034.32230324074</v>
      </c>
      <c r="F865" s="2">
        <v>46034.33333333334</v>
      </c>
      <c r="G865" t="s">
        <v>50</v>
      </c>
      <c r="H865" t="s">
        <v>51</v>
      </c>
      <c r="I865">
        <v>7</v>
      </c>
      <c r="J865">
        <v>7</v>
      </c>
      <c r="K865" t="s">
        <v>54</v>
      </c>
      <c r="L865" t="s">
        <v>64</v>
      </c>
      <c r="M865" t="s">
        <v>69</v>
      </c>
      <c r="N865" t="s">
        <v>74</v>
      </c>
      <c r="O865">
        <v>953</v>
      </c>
      <c r="P865" t="s">
        <v>79</v>
      </c>
      <c r="Q865" t="s">
        <v>85</v>
      </c>
      <c r="R865" t="s">
        <v>91</v>
      </c>
      <c r="S865" t="s">
        <v>105</v>
      </c>
      <c r="T865" t="s">
        <v>114</v>
      </c>
    </row>
    <row r="866" spans="1:20">
      <c r="A866" t="s">
        <v>26</v>
      </c>
      <c r="B866" t="s">
        <v>33</v>
      </c>
      <c r="C866" t="s">
        <v>38</v>
      </c>
      <c r="E866" s="2">
        <v>46034.32259259259</v>
      </c>
      <c r="F866" s="2">
        <v>46034.33333333334</v>
      </c>
      <c r="G866" t="s">
        <v>50</v>
      </c>
      <c r="H866" t="s">
        <v>51</v>
      </c>
      <c r="I866">
        <v>7</v>
      </c>
      <c r="J866">
        <v>7</v>
      </c>
      <c r="L866" t="s">
        <v>63</v>
      </c>
      <c r="M866" t="s">
        <v>71</v>
      </c>
      <c r="N866" t="s">
        <v>74</v>
      </c>
      <c r="O866">
        <v>928</v>
      </c>
      <c r="P866" t="s">
        <v>79</v>
      </c>
      <c r="Q866" t="s">
        <v>85</v>
      </c>
      <c r="R866" t="s">
        <v>91</v>
      </c>
      <c r="S866" t="s">
        <v>105</v>
      </c>
      <c r="T866" t="s">
        <v>114</v>
      </c>
    </row>
    <row r="867" spans="1:20">
      <c r="A867" t="s">
        <v>25</v>
      </c>
      <c r="B867" t="s">
        <v>32</v>
      </c>
      <c r="C867" t="s">
        <v>37</v>
      </c>
      <c r="E867" s="2">
        <v>46034.325625</v>
      </c>
      <c r="F867" s="2">
        <v>46034.32563657407</v>
      </c>
      <c r="G867" t="s">
        <v>50</v>
      </c>
      <c r="H867" t="s">
        <v>51</v>
      </c>
      <c r="I867">
        <v>7</v>
      </c>
      <c r="J867">
        <v>7</v>
      </c>
      <c r="K867" t="s">
        <v>53</v>
      </c>
      <c r="L867" t="s">
        <v>62</v>
      </c>
      <c r="M867" t="s">
        <v>69</v>
      </c>
      <c r="N867" t="s">
        <v>74</v>
      </c>
      <c r="O867">
        <v>1</v>
      </c>
      <c r="P867" t="s">
        <v>81</v>
      </c>
      <c r="Q867" t="s">
        <v>85</v>
      </c>
      <c r="R867" t="s">
        <v>93</v>
      </c>
      <c r="S867" t="s">
        <v>107</v>
      </c>
      <c r="T867" t="s">
        <v>114</v>
      </c>
    </row>
    <row r="868" spans="1:20">
      <c r="A868" t="s">
        <v>25</v>
      </c>
      <c r="B868" t="s">
        <v>32</v>
      </c>
      <c r="C868" t="s">
        <v>37</v>
      </c>
      <c r="E868" s="2">
        <v>46034.32563657407</v>
      </c>
      <c r="F868" s="2">
        <v>46034.32603009259</v>
      </c>
      <c r="G868" t="s">
        <v>50</v>
      </c>
      <c r="H868" t="s">
        <v>51</v>
      </c>
      <c r="I868">
        <v>7</v>
      </c>
      <c r="J868">
        <v>7</v>
      </c>
      <c r="K868" t="s">
        <v>53</v>
      </c>
      <c r="L868" t="s">
        <v>62</v>
      </c>
      <c r="M868" t="s">
        <v>69</v>
      </c>
      <c r="N868" t="s">
        <v>75</v>
      </c>
      <c r="O868">
        <v>34</v>
      </c>
      <c r="P868" t="s">
        <v>81</v>
      </c>
      <c r="Q868" t="s">
        <v>85</v>
      </c>
      <c r="R868" t="s">
        <v>93</v>
      </c>
      <c r="S868" t="s">
        <v>107</v>
      </c>
      <c r="T868" t="s">
        <v>114</v>
      </c>
    </row>
    <row r="869" spans="1:20">
      <c r="A869" t="s">
        <v>25</v>
      </c>
      <c r="B869" t="s">
        <v>32</v>
      </c>
      <c r="C869" t="s">
        <v>37</v>
      </c>
      <c r="E869" s="2">
        <v>46034.32603009259</v>
      </c>
      <c r="F869" s="2">
        <v>46034.32604166667</v>
      </c>
      <c r="G869" t="s">
        <v>50</v>
      </c>
      <c r="H869" t="s">
        <v>51</v>
      </c>
      <c r="I869">
        <v>7</v>
      </c>
      <c r="J869">
        <v>7</v>
      </c>
      <c r="K869" t="s">
        <v>53</v>
      </c>
      <c r="L869" t="s">
        <v>62</v>
      </c>
      <c r="M869" t="s">
        <v>69</v>
      </c>
      <c r="N869" t="s">
        <v>74</v>
      </c>
      <c r="O869">
        <v>1</v>
      </c>
      <c r="P869" t="s">
        <v>81</v>
      </c>
      <c r="Q869" t="s">
        <v>85</v>
      </c>
      <c r="R869" t="s">
        <v>93</v>
      </c>
      <c r="S869" t="s">
        <v>107</v>
      </c>
      <c r="T869" t="s">
        <v>114</v>
      </c>
    </row>
    <row r="870" spans="1:20">
      <c r="A870" t="s">
        <v>25</v>
      </c>
      <c r="B870" t="s">
        <v>32</v>
      </c>
      <c r="C870" t="s">
        <v>39</v>
      </c>
      <c r="E870" s="2">
        <v>46034.32604166667</v>
      </c>
      <c r="F870" s="2">
        <v>46034.3266087963</v>
      </c>
      <c r="G870" t="s">
        <v>50</v>
      </c>
      <c r="H870" t="s">
        <v>51</v>
      </c>
      <c r="I870">
        <v>7</v>
      </c>
      <c r="J870">
        <v>7</v>
      </c>
      <c r="K870" t="s">
        <v>53</v>
      </c>
      <c r="L870" t="s">
        <v>62</v>
      </c>
      <c r="M870" t="s">
        <v>69</v>
      </c>
      <c r="N870" t="s">
        <v>74</v>
      </c>
      <c r="O870">
        <v>49</v>
      </c>
      <c r="P870" t="s">
        <v>81</v>
      </c>
      <c r="Q870" t="s">
        <v>85</v>
      </c>
      <c r="R870" t="s">
        <v>93</v>
      </c>
      <c r="S870" t="s">
        <v>107</v>
      </c>
      <c r="T870" t="s">
        <v>114</v>
      </c>
    </row>
    <row r="871" spans="1:20">
      <c r="A871" t="s">
        <v>25</v>
      </c>
      <c r="B871" t="s">
        <v>32</v>
      </c>
      <c r="C871" t="s">
        <v>37</v>
      </c>
      <c r="E871" s="2">
        <v>46034.3266087963</v>
      </c>
      <c r="F871" s="2">
        <v>46034.32663194444</v>
      </c>
      <c r="G871" t="s">
        <v>50</v>
      </c>
      <c r="H871" t="s">
        <v>51</v>
      </c>
      <c r="I871">
        <v>7</v>
      </c>
      <c r="J871">
        <v>7</v>
      </c>
      <c r="K871" t="s">
        <v>53</v>
      </c>
      <c r="L871" t="s">
        <v>62</v>
      </c>
      <c r="M871" t="s">
        <v>69</v>
      </c>
      <c r="N871" t="s">
        <v>74</v>
      </c>
      <c r="O871">
        <v>2</v>
      </c>
      <c r="P871" t="s">
        <v>81</v>
      </c>
      <c r="Q871" t="s">
        <v>85</v>
      </c>
      <c r="R871" t="s">
        <v>93</v>
      </c>
      <c r="S871" t="s">
        <v>107</v>
      </c>
      <c r="T871" t="s">
        <v>114</v>
      </c>
    </row>
    <row r="872" spans="1:20">
      <c r="A872" t="s">
        <v>25</v>
      </c>
      <c r="B872" t="s">
        <v>32</v>
      </c>
      <c r="C872" t="s">
        <v>37</v>
      </c>
      <c r="E872" s="2">
        <v>46034.32663194444</v>
      </c>
      <c r="F872" s="2">
        <v>46034.32761574074</v>
      </c>
      <c r="G872" t="s">
        <v>50</v>
      </c>
      <c r="H872" t="s">
        <v>51</v>
      </c>
      <c r="I872">
        <v>7</v>
      </c>
      <c r="J872">
        <v>7</v>
      </c>
      <c r="K872" t="s">
        <v>53</v>
      </c>
      <c r="L872" t="s">
        <v>62</v>
      </c>
      <c r="M872" t="s">
        <v>69</v>
      </c>
      <c r="N872" t="s">
        <v>76</v>
      </c>
      <c r="O872">
        <v>85</v>
      </c>
      <c r="P872" t="s">
        <v>81</v>
      </c>
      <c r="Q872" t="s">
        <v>85</v>
      </c>
      <c r="R872" t="s">
        <v>93</v>
      </c>
      <c r="S872" t="s">
        <v>107</v>
      </c>
      <c r="T872" t="s">
        <v>114</v>
      </c>
    </row>
    <row r="873" spans="1:20">
      <c r="A873" t="s">
        <v>25</v>
      </c>
      <c r="B873" t="s">
        <v>32</v>
      </c>
      <c r="C873" t="s">
        <v>37</v>
      </c>
      <c r="E873" s="2">
        <v>46034.32761574074</v>
      </c>
      <c r="F873" s="2">
        <v>46034.32800925926</v>
      </c>
      <c r="G873" t="s">
        <v>50</v>
      </c>
      <c r="H873" t="s">
        <v>51</v>
      </c>
      <c r="I873">
        <v>7</v>
      </c>
      <c r="J873">
        <v>7</v>
      </c>
      <c r="K873" t="s">
        <v>53</v>
      </c>
      <c r="L873" t="s">
        <v>62</v>
      </c>
      <c r="M873" t="s">
        <v>69</v>
      </c>
      <c r="N873" t="s">
        <v>74</v>
      </c>
      <c r="O873">
        <v>34</v>
      </c>
      <c r="P873" t="s">
        <v>81</v>
      </c>
      <c r="Q873" t="s">
        <v>85</v>
      </c>
      <c r="R873" t="s">
        <v>93</v>
      </c>
      <c r="S873" t="s">
        <v>107</v>
      </c>
      <c r="T873" t="s">
        <v>114</v>
      </c>
    </row>
    <row r="874" spans="1:20">
      <c r="A874" t="s">
        <v>21</v>
      </c>
      <c r="B874" t="s">
        <v>28</v>
      </c>
      <c r="C874" t="s">
        <v>36</v>
      </c>
      <c r="E874" s="2">
        <v>46034.32780092592</v>
      </c>
      <c r="F874" s="2">
        <v>46034.32782407408</v>
      </c>
      <c r="G874" t="s">
        <v>50</v>
      </c>
      <c r="H874" t="s">
        <v>51</v>
      </c>
      <c r="I874">
        <v>7</v>
      </c>
      <c r="J874">
        <v>7</v>
      </c>
      <c r="K874" t="s">
        <v>54</v>
      </c>
      <c r="L874" t="s">
        <v>68</v>
      </c>
      <c r="M874" t="s">
        <v>69</v>
      </c>
      <c r="N874" t="s">
        <v>74</v>
      </c>
      <c r="O874">
        <v>2</v>
      </c>
      <c r="P874" t="s">
        <v>79</v>
      </c>
      <c r="Q874" t="s">
        <v>85</v>
      </c>
      <c r="R874" t="s">
        <v>91</v>
      </c>
      <c r="S874" t="s">
        <v>105</v>
      </c>
      <c r="T874" t="s">
        <v>114</v>
      </c>
    </row>
    <row r="875" spans="1:20">
      <c r="A875" t="s">
        <v>21</v>
      </c>
      <c r="B875" t="s">
        <v>28</v>
      </c>
      <c r="C875" t="s">
        <v>37</v>
      </c>
      <c r="E875" s="2">
        <v>46034.32782407408</v>
      </c>
      <c r="F875" s="2">
        <v>46034.32796296296</v>
      </c>
      <c r="G875" t="s">
        <v>50</v>
      </c>
      <c r="H875" t="s">
        <v>51</v>
      </c>
      <c r="I875">
        <v>7</v>
      </c>
      <c r="J875">
        <v>7</v>
      </c>
      <c r="K875" t="s">
        <v>54</v>
      </c>
      <c r="L875" t="s">
        <v>68</v>
      </c>
      <c r="M875" t="s">
        <v>69</v>
      </c>
      <c r="N875" t="s">
        <v>74</v>
      </c>
      <c r="O875">
        <v>12</v>
      </c>
      <c r="P875" t="s">
        <v>81</v>
      </c>
      <c r="Q875" t="s">
        <v>85</v>
      </c>
      <c r="R875" t="s">
        <v>93</v>
      </c>
      <c r="S875" t="s">
        <v>107</v>
      </c>
      <c r="T875" t="s">
        <v>114</v>
      </c>
    </row>
    <row r="876" spans="1:20">
      <c r="A876" t="s">
        <v>21</v>
      </c>
      <c r="B876" t="s">
        <v>28</v>
      </c>
      <c r="C876" t="s">
        <v>38</v>
      </c>
      <c r="E876" s="2">
        <v>46034.32796296296</v>
      </c>
      <c r="F876" s="2">
        <v>46034.33046296296</v>
      </c>
      <c r="G876" t="s">
        <v>50</v>
      </c>
      <c r="H876" t="s">
        <v>51</v>
      </c>
      <c r="I876">
        <v>7</v>
      </c>
      <c r="J876">
        <v>7</v>
      </c>
      <c r="K876" t="s">
        <v>54</v>
      </c>
      <c r="L876" t="s">
        <v>68</v>
      </c>
      <c r="M876" t="s">
        <v>69</v>
      </c>
      <c r="N876" t="s">
        <v>74</v>
      </c>
      <c r="O876">
        <v>216</v>
      </c>
      <c r="P876" t="s">
        <v>79</v>
      </c>
      <c r="Q876" t="s">
        <v>85</v>
      </c>
      <c r="R876" t="s">
        <v>91</v>
      </c>
      <c r="S876" t="s">
        <v>105</v>
      </c>
      <c r="T876" t="s">
        <v>114</v>
      </c>
    </row>
    <row r="877" spans="1:20">
      <c r="A877" t="s">
        <v>25</v>
      </c>
      <c r="B877" t="s">
        <v>32</v>
      </c>
      <c r="C877" t="s">
        <v>38</v>
      </c>
      <c r="E877" s="2">
        <v>46034.32800925926</v>
      </c>
      <c r="F877" s="2">
        <v>46034.33333333334</v>
      </c>
      <c r="G877" t="s">
        <v>50</v>
      </c>
      <c r="H877" t="s">
        <v>51</v>
      </c>
      <c r="I877">
        <v>7</v>
      </c>
      <c r="J877">
        <v>7</v>
      </c>
      <c r="K877" t="s">
        <v>53</v>
      </c>
      <c r="L877" t="s">
        <v>62</v>
      </c>
      <c r="M877" t="s">
        <v>69</v>
      </c>
      <c r="N877" t="s">
        <v>74</v>
      </c>
      <c r="O877">
        <v>460</v>
      </c>
      <c r="P877" t="s">
        <v>79</v>
      </c>
      <c r="Q877" t="s">
        <v>85</v>
      </c>
      <c r="R877" t="s">
        <v>91</v>
      </c>
      <c r="S877" t="s">
        <v>105</v>
      </c>
      <c r="T877" t="s">
        <v>114</v>
      </c>
    </row>
    <row r="878" spans="1:20">
      <c r="A878" t="s">
        <v>20</v>
      </c>
      <c r="B878" t="s">
        <v>27</v>
      </c>
      <c r="C878" t="s">
        <v>38</v>
      </c>
      <c r="E878" s="2">
        <v>46034.32940972222</v>
      </c>
      <c r="F878" s="2">
        <v>46034.33018518519</v>
      </c>
      <c r="G878" t="s">
        <v>50</v>
      </c>
      <c r="H878" t="s">
        <v>51</v>
      </c>
      <c r="I878">
        <v>7</v>
      </c>
      <c r="J878">
        <v>7</v>
      </c>
      <c r="K878" t="s">
        <v>52</v>
      </c>
      <c r="L878" t="s">
        <v>66</v>
      </c>
      <c r="O878">
        <v>67</v>
      </c>
      <c r="P878" t="s">
        <v>79</v>
      </c>
      <c r="Q878" t="s">
        <v>85</v>
      </c>
      <c r="R878" t="s">
        <v>91</v>
      </c>
      <c r="S878" t="s">
        <v>105</v>
      </c>
      <c r="T878" t="s">
        <v>114</v>
      </c>
    </row>
    <row r="879" spans="1:20">
      <c r="A879" t="s">
        <v>20</v>
      </c>
      <c r="B879" t="s">
        <v>27</v>
      </c>
      <c r="C879" t="s">
        <v>39</v>
      </c>
      <c r="E879" s="2">
        <v>46034.33018518519</v>
      </c>
      <c r="F879" s="2">
        <v>46034.33186342593</v>
      </c>
      <c r="G879" t="s">
        <v>50</v>
      </c>
      <c r="H879" t="s">
        <v>51</v>
      </c>
      <c r="I879">
        <v>7</v>
      </c>
      <c r="J879">
        <v>7</v>
      </c>
      <c r="K879" t="s">
        <v>52</v>
      </c>
      <c r="L879" t="s">
        <v>66</v>
      </c>
      <c r="O879">
        <v>145</v>
      </c>
      <c r="P879" t="s">
        <v>81</v>
      </c>
      <c r="Q879" t="s">
        <v>85</v>
      </c>
      <c r="R879" t="s">
        <v>93</v>
      </c>
      <c r="S879" t="s">
        <v>107</v>
      </c>
      <c r="T879" t="s">
        <v>114</v>
      </c>
    </row>
    <row r="880" spans="1:20">
      <c r="A880" t="s">
        <v>21</v>
      </c>
      <c r="B880" t="s">
        <v>28</v>
      </c>
      <c r="C880" t="s">
        <v>37</v>
      </c>
      <c r="E880" s="2">
        <v>46034.33046296296</v>
      </c>
      <c r="F880" s="2">
        <v>46034.33048611111</v>
      </c>
      <c r="G880" t="s">
        <v>50</v>
      </c>
      <c r="H880" t="s">
        <v>51</v>
      </c>
      <c r="I880">
        <v>7</v>
      </c>
      <c r="J880">
        <v>7</v>
      </c>
      <c r="K880" t="s">
        <v>54</v>
      </c>
      <c r="L880" t="s">
        <v>68</v>
      </c>
      <c r="M880" t="s">
        <v>69</v>
      </c>
      <c r="N880" t="s">
        <v>74</v>
      </c>
      <c r="O880">
        <v>2</v>
      </c>
      <c r="P880" t="s">
        <v>81</v>
      </c>
      <c r="Q880" t="s">
        <v>85</v>
      </c>
      <c r="R880" t="s">
        <v>93</v>
      </c>
      <c r="S880" t="s">
        <v>107</v>
      </c>
      <c r="T880" t="s">
        <v>114</v>
      </c>
    </row>
    <row r="881" spans="1:20">
      <c r="A881" t="s">
        <v>21</v>
      </c>
      <c r="B881" t="s">
        <v>28</v>
      </c>
      <c r="C881" t="s">
        <v>37</v>
      </c>
      <c r="E881" s="2">
        <v>46034.33048611111</v>
      </c>
      <c r="F881" s="2">
        <v>46034.33074074074</v>
      </c>
      <c r="G881" t="s">
        <v>50</v>
      </c>
      <c r="H881" t="s">
        <v>51</v>
      </c>
      <c r="I881">
        <v>7</v>
      </c>
      <c r="J881">
        <v>7</v>
      </c>
      <c r="K881" t="s">
        <v>54</v>
      </c>
      <c r="L881" t="s">
        <v>68</v>
      </c>
      <c r="M881" t="s">
        <v>69</v>
      </c>
      <c r="N881" t="s">
        <v>75</v>
      </c>
      <c r="O881">
        <v>22</v>
      </c>
      <c r="P881" t="s">
        <v>81</v>
      </c>
      <c r="Q881" t="s">
        <v>85</v>
      </c>
      <c r="R881" t="s">
        <v>93</v>
      </c>
      <c r="S881" t="s">
        <v>107</v>
      </c>
      <c r="T881" t="s">
        <v>114</v>
      </c>
    </row>
    <row r="882" spans="1:20">
      <c r="A882" t="s">
        <v>21</v>
      </c>
      <c r="B882" t="s">
        <v>28</v>
      </c>
      <c r="C882" t="s">
        <v>37</v>
      </c>
      <c r="E882" s="2">
        <v>46034.33074074074</v>
      </c>
      <c r="F882" s="2">
        <v>46034.33075231482</v>
      </c>
      <c r="G882" t="s">
        <v>50</v>
      </c>
      <c r="H882" t="s">
        <v>51</v>
      </c>
      <c r="I882">
        <v>7</v>
      </c>
      <c r="J882">
        <v>7</v>
      </c>
      <c r="K882" t="s">
        <v>54</v>
      </c>
      <c r="L882" t="s">
        <v>68</v>
      </c>
      <c r="M882" t="s">
        <v>69</v>
      </c>
      <c r="N882" t="s">
        <v>74</v>
      </c>
      <c r="O882">
        <v>1</v>
      </c>
      <c r="P882" t="s">
        <v>81</v>
      </c>
      <c r="Q882" t="s">
        <v>85</v>
      </c>
      <c r="R882" t="s">
        <v>93</v>
      </c>
      <c r="S882" t="s">
        <v>107</v>
      </c>
      <c r="T882" t="s">
        <v>114</v>
      </c>
    </row>
    <row r="883" spans="1:20">
      <c r="A883" t="s">
        <v>21</v>
      </c>
      <c r="B883" t="s">
        <v>28</v>
      </c>
      <c r="C883" t="s">
        <v>39</v>
      </c>
      <c r="E883" s="2">
        <v>46034.33075231482</v>
      </c>
      <c r="F883" s="2">
        <v>46034.33206018519</v>
      </c>
      <c r="G883" t="s">
        <v>50</v>
      </c>
      <c r="H883" t="s">
        <v>51</v>
      </c>
      <c r="I883">
        <v>7</v>
      </c>
      <c r="J883">
        <v>7</v>
      </c>
      <c r="K883" t="s">
        <v>54</v>
      </c>
      <c r="L883" t="s">
        <v>68</v>
      </c>
      <c r="M883" t="s">
        <v>69</v>
      </c>
      <c r="N883" t="s">
        <v>74</v>
      </c>
      <c r="O883">
        <v>113</v>
      </c>
      <c r="P883" t="s">
        <v>81</v>
      </c>
      <c r="Q883" t="s">
        <v>85</v>
      </c>
      <c r="R883" t="s">
        <v>93</v>
      </c>
      <c r="S883" t="s">
        <v>107</v>
      </c>
      <c r="T883" t="s">
        <v>114</v>
      </c>
    </row>
    <row r="884" spans="1:20">
      <c r="A884" t="s">
        <v>20</v>
      </c>
      <c r="B884" t="s">
        <v>27</v>
      </c>
      <c r="C884" t="s">
        <v>38</v>
      </c>
      <c r="E884" s="2">
        <v>46034.33186342593</v>
      </c>
      <c r="F884" s="2">
        <v>46034.33265046297</v>
      </c>
      <c r="G884" t="s">
        <v>50</v>
      </c>
      <c r="H884" t="s">
        <v>51</v>
      </c>
      <c r="I884">
        <v>7</v>
      </c>
      <c r="J884">
        <v>7</v>
      </c>
      <c r="K884" t="s">
        <v>52</v>
      </c>
      <c r="L884" t="s">
        <v>66</v>
      </c>
      <c r="O884">
        <v>68</v>
      </c>
      <c r="P884" t="s">
        <v>79</v>
      </c>
      <c r="Q884" t="s">
        <v>85</v>
      </c>
      <c r="R884" t="s">
        <v>91</v>
      </c>
      <c r="S884" t="s">
        <v>105</v>
      </c>
      <c r="T884" t="s">
        <v>114</v>
      </c>
    </row>
    <row r="885" spans="1:20">
      <c r="A885" t="s">
        <v>21</v>
      </c>
      <c r="B885" t="s">
        <v>28</v>
      </c>
      <c r="C885" t="s">
        <v>37</v>
      </c>
      <c r="E885" s="2">
        <v>46034.33206018519</v>
      </c>
      <c r="F885" s="2">
        <v>46034.33215277778</v>
      </c>
      <c r="G885" t="s">
        <v>50</v>
      </c>
      <c r="H885" t="s">
        <v>51</v>
      </c>
      <c r="I885">
        <v>7</v>
      </c>
      <c r="J885">
        <v>7</v>
      </c>
      <c r="K885" t="s">
        <v>54</v>
      </c>
      <c r="L885" t="s">
        <v>68</v>
      </c>
      <c r="M885" t="s">
        <v>69</v>
      </c>
      <c r="N885" t="s">
        <v>74</v>
      </c>
      <c r="O885">
        <v>8</v>
      </c>
      <c r="P885" t="s">
        <v>81</v>
      </c>
      <c r="Q885" t="s">
        <v>85</v>
      </c>
      <c r="R885" t="s">
        <v>93</v>
      </c>
      <c r="S885" t="s">
        <v>107</v>
      </c>
      <c r="T885" t="s">
        <v>114</v>
      </c>
    </row>
    <row r="886" spans="1:20">
      <c r="A886" t="s">
        <v>21</v>
      </c>
      <c r="B886" t="s">
        <v>28</v>
      </c>
      <c r="C886" t="s">
        <v>37</v>
      </c>
      <c r="E886" s="2">
        <v>46034.33215277778</v>
      </c>
      <c r="F886" s="2">
        <v>46034.33266203704</v>
      </c>
      <c r="G886" t="s">
        <v>50</v>
      </c>
      <c r="H886" t="s">
        <v>51</v>
      </c>
      <c r="I886">
        <v>7</v>
      </c>
      <c r="J886">
        <v>7</v>
      </c>
      <c r="K886" t="s">
        <v>54</v>
      </c>
      <c r="L886" t="s">
        <v>68</v>
      </c>
      <c r="M886" t="s">
        <v>69</v>
      </c>
      <c r="N886" t="s">
        <v>76</v>
      </c>
      <c r="O886">
        <v>44</v>
      </c>
      <c r="P886" t="s">
        <v>81</v>
      </c>
      <c r="Q886" t="s">
        <v>85</v>
      </c>
      <c r="R886" t="s">
        <v>93</v>
      </c>
      <c r="S886" t="s">
        <v>107</v>
      </c>
      <c r="T886" t="s">
        <v>114</v>
      </c>
    </row>
    <row r="887" spans="1:20">
      <c r="A887" t="s">
        <v>20</v>
      </c>
      <c r="B887" t="s">
        <v>27</v>
      </c>
      <c r="C887" t="s">
        <v>36</v>
      </c>
      <c r="E887" s="2">
        <v>46034.33265046297</v>
      </c>
      <c r="F887" s="2">
        <v>46034.33333333334</v>
      </c>
      <c r="G887" t="s">
        <v>50</v>
      </c>
      <c r="H887" t="s">
        <v>51</v>
      </c>
      <c r="I887">
        <v>7</v>
      </c>
      <c r="J887">
        <v>7</v>
      </c>
      <c r="K887" t="s">
        <v>52</v>
      </c>
      <c r="L887" t="s">
        <v>66</v>
      </c>
      <c r="O887">
        <v>59</v>
      </c>
      <c r="P887" t="s">
        <v>79</v>
      </c>
      <c r="Q887" t="s">
        <v>85</v>
      </c>
      <c r="R887" t="s">
        <v>91</v>
      </c>
      <c r="S887" t="s">
        <v>105</v>
      </c>
      <c r="T887" t="s">
        <v>114</v>
      </c>
    </row>
    <row r="888" spans="1:20">
      <c r="A888" t="s">
        <v>21</v>
      </c>
      <c r="B888" t="s">
        <v>28</v>
      </c>
      <c r="C888" t="s">
        <v>37</v>
      </c>
      <c r="E888" s="2">
        <v>46034.33266203704</v>
      </c>
      <c r="F888" s="2">
        <v>46034.3330324074</v>
      </c>
      <c r="G888" t="s">
        <v>50</v>
      </c>
      <c r="H888" t="s">
        <v>51</v>
      </c>
      <c r="I888">
        <v>7</v>
      </c>
      <c r="J888">
        <v>7</v>
      </c>
      <c r="K888" t="s">
        <v>54</v>
      </c>
      <c r="L888" t="s">
        <v>68</v>
      </c>
      <c r="M888" t="s">
        <v>69</v>
      </c>
      <c r="N888" t="s">
        <v>74</v>
      </c>
      <c r="O888">
        <v>32</v>
      </c>
      <c r="P888" t="s">
        <v>81</v>
      </c>
      <c r="Q888" t="s">
        <v>85</v>
      </c>
      <c r="R888" t="s">
        <v>93</v>
      </c>
      <c r="S888" t="s">
        <v>107</v>
      </c>
      <c r="T888" t="s">
        <v>114</v>
      </c>
    </row>
    <row r="889" spans="1:20">
      <c r="A889" t="s">
        <v>21</v>
      </c>
      <c r="B889" t="s">
        <v>28</v>
      </c>
      <c r="C889" t="s">
        <v>38</v>
      </c>
      <c r="E889" s="2">
        <v>46034.3330324074</v>
      </c>
      <c r="F889" s="2">
        <v>46034.33324074074</v>
      </c>
      <c r="G889" t="s">
        <v>50</v>
      </c>
      <c r="H889" t="s">
        <v>51</v>
      </c>
      <c r="I889">
        <v>7</v>
      </c>
      <c r="J889">
        <v>7</v>
      </c>
      <c r="K889" t="s">
        <v>54</v>
      </c>
      <c r="L889" t="s">
        <v>68</v>
      </c>
      <c r="M889" t="s">
        <v>69</v>
      </c>
      <c r="N889" t="s">
        <v>74</v>
      </c>
      <c r="O889">
        <v>18</v>
      </c>
      <c r="P889" t="s">
        <v>79</v>
      </c>
      <c r="Q889" t="s">
        <v>85</v>
      </c>
      <c r="R889" t="s">
        <v>91</v>
      </c>
      <c r="S889" t="s">
        <v>105</v>
      </c>
      <c r="T889" t="s">
        <v>114</v>
      </c>
    </row>
    <row r="890" spans="1:20">
      <c r="A890" t="s">
        <v>21</v>
      </c>
      <c r="B890" t="s">
        <v>28</v>
      </c>
      <c r="C890" t="s">
        <v>36</v>
      </c>
      <c r="E890" s="2">
        <v>46034.33324074074</v>
      </c>
      <c r="F890" s="2">
        <v>46034.33333333334</v>
      </c>
      <c r="G890" t="s">
        <v>50</v>
      </c>
      <c r="H890" t="s">
        <v>51</v>
      </c>
      <c r="I890">
        <v>7</v>
      </c>
      <c r="J890">
        <v>7</v>
      </c>
      <c r="K890" t="s">
        <v>54</v>
      </c>
      <c r="L890" t="s">
        <v>68</v>
      </c>
      <c r="M890" t="s">
        <v>69</v>
      </c>
      <c r="N890" t="s">
        <v>74</v>
      </c>
      <c r="O890">
        <v>8</v>
      </c>
      <c r="P890" t="s">
        <v>79</v>
      </c>
      <c r="Q890" t="s">
        <v>85</v>
      </c>
      <c r="R890" t="s">
        <v>91</v>
      </c>
      <c r="S890" t="s">
        <v>105</v>
      </c>
      <c r="T890" t="s">
        <v>114</v>
      </c>
    </row>
    <row r="891" spans="1:20">
      <c r="A891" t="s">
        <v>21</v>
      </c>
      <c r="B891" t="s">
        <v>28</v>
      </c>
      <c r="C891" t="s">
        <v>36</v>
      </c>
      <c r="E891" s="2">
        <v>46034.33333333334</v>
      </c>
      <c r="F891" s="2">
        <v>46034.36217592593</v>
      </c>
      <c r="G891" t="s">
        <v>50</v>
      </c>
      <c r="H891" t="s">
        <v>51</v>
      </c>
      <c r="I891">
        <v>8</v>
      </c>
      <c r="J891">
        <v>8</v>
      </c>
      <c r="K891" t="s">
        <v>54</v>
      </c>
      <c r="L891" t="s">
        <v>68</v>
      </c>
      <c r="M891" t="s">
        <v>69</v>
      </c>
      <c r="N891" t="s">
        <v>74</v>
      </c>
      <c r="O891">
        <v>2492</v>
      </c>
      <c r="P891" t="s">
        <v>79</v>
      </c>
      <c r="Q891" t="s">
        <v>85</v>
      </c>
      <c r="R891" t="s">
        <v>91</v>
      </c>
      <c r="S891" t="s">
        <v>105</v>
      </c>
      <c r="T891" t="s">
        <v>114</v>
      </c>
    </row>
    <row r="892" spans="1:20">
      <c r="A892" t="s">
        <v>25</v>
      </c>
      <c r="B892" t="s">
        <v>32</v>
      </c>
      <c r="C892" t="s">
        <v>38</v>
      </c>
      <c r="E892" s="2">
        <v>46034.33333333334</v>
      </c>
      <c r="F892" s="2">
        <v>46034.35893518518</v>
      </c>
      <c r="G892" t="s">
        <v>50</v>
      </c>
      <c r="H892" t="s">
        <v>51</v>
      </c>
      <c r="I892">
        <v>8</v>
      </c>
      <c r="J892">
        <v>8</v>
      </c>
      <c r="K892" t="s">
        <v>53</v>
      </c>
      <c r="L892" t="s">
        <v>62</v>
      </c>
      <c r="M892" t="s">
        <v>69</v>
      </c>
      <c r="N892" t="s">
        <v>74</v>
      </c>
      <c r="O892">
        <v>2212</v>
      </c>
      <c r="P892" t="s">
        <v>79</v>
      </c>
      <c r="Q892" t="s">
        <v>85</v>
      </c>
      <c r="R892" t="s">
        <v>91</v>
      </c>
      <c r="S892" t="s">
        <v>105</v>
      </c>
      <c r="T892" t="s">
        <v>114</v>
      </c>
    </row>
    <row r="893" spans="1:20">
      <c r="A893" t="s">
        <v>26</v>
      </c>
      <c r="B893" t="s">
        <v>33</v>
      </c>
      <c r="C893" t="s">
        <v>38</v>
      </c>
      <c r="E893" s="2">
        <v>46034.33333333334</v>
      </c>
      <c r="F893" s="2">
        <v>46034.3553587963</v>
      </c>
      <c r="G893" t="s">
        <v>50</v>
      </c>
      <c r="H893" t="s">
        <v>51</v>
      </c>
      <c r="I893">
        <v>8</v>
      </c>
      <c r="J893">
        <v>8</v>
      </c>
      <c r="L893" t="s">
        <v>63</v>
      </c>
      <c r="M893" t="s">
        <v>71</v>
      </c>
      <c r="N893" t="s">
        <v>74</v>
      </c>
      <c r="O893">
        <v>1903</v>
      </c>
      <c r="P893" t="s">
        <v>79</v>
      </c>
      <c r="Q893" t="s">
        <v>85</v>
      </c>
      <c r="R893" t="s">
        <v>91</v>
      </c>
      <c r="S893" t="s">
        <v>105</v>
      </c>
      <c r="T893" t="s">
        <v>114</v>
      </c>
    </row>
    <row r="894" spans="1:20">
      <c r="A894" t="s">
        <v>20</v>
      </c>
      <c r="B894" t="s">
        <v>27</v>
      </c>
      <c r="C894" t="s">
        <v>36</v>
      </c>
      <c r="E894" s="2">
        <v>46034.33333333334</v>
      </c>
      <c r="F894" s="2">
        <v>46034.34052083334</v>
      </c>
      <c r="G894" t="s">
        <v>50</v>
      </c>
      <c r="H894" t="s">
        <v>51</v>
      </c>
      <c r="I894">
        <v>8</v>
      </c>
      <c r="J894">
        <v>8</v>
      </c>
      <c r="K894" t="s">
        <v>52</v>
      </c>
      <c r="L894" t="s">
        <v>66</v>
      </c>
      <c r="O894">
        <v>621</v>
      </c>
      <c r="P894" t="s">
        <v>79</v>
      </c>
      <c r="Q894" t="s">
        <v>85</v>
      </c>
      <c r="R894" t="s">
        <v>91</v>
      </c>
      <c r="S894" t="s">
        <v>105</v>
      </c>
      <c r="T894" t="s">
        <v>114</v>
      </c>
    </row>
    <row r="895" spans="1:20">
      <c r="A895" t="s">
        <v>22</v>
      </c>
      <c r="B895" t="s">
        <v>29</v>
      </c>
      <c r="C895" t="s">
        <v>36</v>
      </c>
      <c r="E895" s="2">
        <v>46034.33333333334</v>
      </c>
      <c r="F895" s="2">
        <v>46034.34585648148</v>
      </c>
      <c r="G895" t="s">
        <v>50</v>
      </c>
      <c r="H895" t="s">
        <v>51</v>
      </c>
      <c r="I895">
        <v>8</v>
      </c>
      <c r="J895">
        <v>8</v>
      </c>
      <c r="K895" t="s">
        <v>54</v>
      </c>
      <c r="L895" t="s">
        <v>64</v>
      </c>
      <c r="M895" t="s">
        <v>69</v>
      </c>
      <c r="N895" t="s">
        <v>74</v>
      </c>
      <c r="O895">
        <v>1082</v>
      </c>
      <c r="P895" t="s">
        <v>79</v>
      </c>
      <c r="Q895" t="s">
        <v>85</v>
      </c>
      <c r="R895" t="s">
        <v>91</v>
      </c>
      <c r="S895" t="s">
        <v>105</v>
      </c>
      <c r="T895" t="s">
        <v>114</v>
      </c>
    </row>
    <row r="896" spans="1:20">
      <c r="A896" t="s">
        <v>23</v>
      </c>
      <c r="B896" t="s">
        <v>30</v>
      </c>
      <c r="C896" t="s">
        <v>36</v>
      </c>
      <c r="E896" s="2">
        <v>46034.33333333334</v>
      </c>
      <c r="F896" s="2">
        <v>46034.35053240741</v>
      </c>
      <c r="G896" t="s">
        <v>50</v>
      </c>
      <c r="H896" t="s">
        <v>51</v>
      </c>
      <c r="I896">
        <v>8</v>
      </c>
      <c r="J896">
        <v>8</v>
      </c>
      <c r="K896" t="s">
        <v>55</v>
      </c>
      <c r="L896" t="s">
        <v>65</v>
      </c>
      <c r="M896" t="s">
        <v>69</v>
      </c>
      <c r="N896" t="s">
        <v>74</v>
      </c>
      <c r="O896">
        <v>1486</v>
      </c>
      <c r="P896" t="s">
        <v>79</v>
      </c>
      <c r="Q896" t="s">
        <v>85</v>
      </c>
      <c r="R896" t="s">
        <v>91</v>
      </c>
      <c r="S896" t="s">
        <v>105</v>
      </c>
      <c r="T896" t="s">
        <v>114</v>
      </c>
    </row>
    <row r="897" spans="1:20">
      <c r="A897" t="s">
        <v>24</v>
      </c>
      <c r="B897" t="s">
        <v>31</v>
      </c>
      <c r="C897" t="s">
        <v>36</v>
      </c>
      <c r="E897" s="2">
        <v>46034.33333333334</v>
      </c>
      <c r="F897" s="2">
        <v>46034.34475694445</v>
      </c>
      <c r="G897" t="s">
        <v>50</v>
      </c>
      <c r="H897" t="s">
        <v>51</v>
      </c>
      <c r="I897">
        <v>8</v>
      </c>
      <c r="J897">
        <v>8</v>
      </c>
      <c r="K897" t="s">
        <v>56</v>
      </c>
      <c r="L897" t="s">
        <v>67</v>
      </c>
      <c r="N897" t="s">
        <v>74</v>
      </c>
      <c r="O897">
        <v>987</v>
      </c>
      <c r="P897" t="s">
        <v>79</v>
      </c>
      <c r="Q897" t="s">
        <v>85</v>
      </c>
      <c r="R897" t="s">
        <v>91</v>
      </c>
      <c r="S897" t="s">
        <v>105</v>
      </c>
      <c r="T897" t="s">
        <v>114</v>
      </c>
    </row>
    <row r="898" spans="1:20">
      <c r="A898" t="s">
        <v>20</v>
      </c>
      <c r="B898" t="s">
        <v>27</v>
      </c>
      <c r="C898" t="s">
        <v>38</v>
      </c>
      <c r="E898" s="2">
        <v>46034.34052083334</v>
      </c>
      <c r="F898" s="2">
        <v>46034.34122685185</v>
      </c>
      <c r="G898" t="s">
        <v>50</v>
      </c>
      <c r="H898" t="s">
        <v>51</v>
      </c>
      <c r="I898">
        <v>8</v>
      </c>
      <c r="J898">
        <v>8</v>
      </c>
      <c r="K898" t="s">
        <v>52</v>
      </c>
      <c r="L898" t="s">
        <v>66</v>
      </c>
      <c r="O898">
        <v>61</v>
      </c>
      <c r="P898" t="s">
        <v>79</v>
      </c>
      <c r="Q898" t="s">
        <v>85</v>
      </c>
      <c r="R898" t="s">
        <v>91</v>
      </c>
      <c r="S898" t="s">
        <v>105</v>
      </c>
      <c r="T898" t="s">
        <v>114</v>
      </c>
    </row>
    <row r="899" spans="1:20">
      <c r="A899" t="s">
        <v>20</v>
      </c>
      <c r="B899" t="s">
        <v>27</v>
      </c>
      <c r="C899" t="s">
        <v>39</v>
      </c>
      <c r="E899" s="2">
        <v>46034.34122685185</v>
      </c>
      <c r="F899" s="2">
        <v>46034.34202546296</v>
      </c>
      <c r="G899" t="s">
        <v>50</v>
      </c>
      <c r="H899" t="s">
        <v>51</v>
      </c>
      <c r="I899">
        <v>8</v>
      </c>
      <c r="J899">
        <v>8</v>
      </c>
      <c r="K899" t="s">
        <v>52</v>
      </c>
      <c r="L899" t="s">
        <v>66</v>
      </c>
      <c r="O899">
        <v>69</v>
      </c>
      <c r="P899" t="s">
        <v>81</v>
      </c>
      <c r="Q899" t="s">
        <v>85</v>
      </c>
      <c r="R899" t="s">
        <v>93</v>
      </c>
      <c r="S899" t="s">
        <v>107</v>
      </c>
      <c r="T899" t="s">
        <v>114</v>
      </c>
    </row>
    <row r="900" spans="1:20">
      <c r="A900" t="s">
        <v>20</v>
      </c>
      <c r="B900" t="s">
        <v>27</v>
      </c>
      <c r="C900" t="s">
        <v>38</v>
      </c>
      <c r="E900" s="2">
        <v>46034.34202546296</v>
      </c>
      <c r="F900" s="2">
        <v>46034.34302083333</v>
      </c>
      <c r="G900" t="s">
        <v>50</v>
      </c>
      <c r="H900" t="s">
        <v>51</v>
      </c>
      <c r="I900">
        <v>8</v>
      </c>
      <c r="J900">
        <v>8</v>
      </c>
      <c r="K900" t="s">
        <v>52</v>
      </c>
      <c r="L900" t="s">
        <v>66</v>
      </c>
      <c r="O900">
        <v>86</v>
      </c>
      <c r="P900" t="s">
        <v>79</v>
      </c>
      <c r="Q900" t="s">
        <v>85</v>
      </c>
      <c r="R900" t="s">
        <v>91</v>
      </c>
      <c r="S900" t="s">
        <v>105</v>
      </c>
      <c r="T900" t="s">
        <v>114</v>
      </c>
    </row>
    <row r="901" spans="1:20">
      <c r="A901" t="s">
        <v>20</v>
      </c>
      <c r="B901" t="s">
        <v>27</v>
      </c>
      <c r="C901" t="s">
        <v>37</v>
      </c>
      <c r="E901" s="2">
        <v>46034.34302083333</v>
      </c>
      <c r="F901" s="2">
        <v>46034.34387731482</v>
      </c>
      <c r="G901" t="s">
        <v>50</v>
      </c>
      <c r="H901" t="s">
        <v>51</v>
      </c>
      <c r="I901">
        <v>8</v>
      </c>
      <c r="J901">
        <v>8</v>
      </c>
      <c r="K901" t="s">
        <v>52</v>
      </c>
      <c r="L901" t="s">
        <v>66</v>
      </c>
      <c r="O901">
        <v>74</v>
      </c>
      <c r="P901" t="s">
        <v>81</v>
      </c>
      <c r="Q901" t="s">
        <v>85</v>
      </c>
      <c r="R901" t="s">
        <v>93</v>
      </c>
      <c r="S901" t="s">
        <v>107</v>
      </c>
      <c r="T901" t="s">
        <v>114</v>
      </c>
    </row>
    <row r="902" spans="1:20">
      <c r="A902" t="s">
        <v>20</v>
      </c>
      <c r="B902" t="s">
        <v>27</v>
      </c>
      <c r="C902" t="s">
        <v>38</v>
      </c>
      <c r="E902" s="2">
        <v>46034.34387731482</v>
      </c>
      <c r="F902" s="2">
        <v>46034.34414351852</v>
      </c>
      <c r="G902" t="s">
        <v>50</v>
      </c>
      <c r="H902" t="s">
        <v>51</v>
      </c>
      <c r="I902">
        <v>8</v>
      </c>
      <c r="J902">
        <v>8</v>
      </c>
      <c r="K902" t="s">
        <v>52</v>
      </c>
      <c r="L902" t="s">
        <v>66</v>
      </c>
      <c r="O902">
        <v>23</v>
      </c>
      <c r="P902" t="s">
        <v>79</v>
      </c>
      <c r="Q902" t="s">
        <v>85</v>
      </c>
      <c r="R902" t="s">
        <v>91</v>
      </c>
      <c r="S902" t="s">
        <v>105</v>
      </c>
      <c r="T902" t="s">
        <v>114</v>
      </c>
    </row>
    <row r="903" spans="1:20">
      <c r="A903" t="s">
        <v>20</v>
      </c>
      <c r="B903" t="s">
        <v>27</v>
      </c>
      <c r="C903" t="s">
        <v>36</v>
      </c>
      <c r="E903" s="2">
        <v>46034.34414351852</v>
      </c>
      <c r="F903" s="2">
        <v>46034.35460648148</v>
      </c>
      <c r="G903" t="s">
        <v>50</v>
      </c>
      <c r="H903" t="s">
        <v>51</v>
      </c>
      <c r="I903">
        <v>8</v>
      </c>
      <c r="J903">
        <v>8</v>
      </c>
      <c r="K903" t="s">
        <v>52</v>
      </c>
      <c r="L903" t="s">
        <v>66</v>
      </c>
      <c r="O903">
        <v>904</v>
      </c>
      <c r="P903" t="s">
        <v>79</v>
      </c>
      <c r="Q903" t="s">
        <v>85</v>
      </c>
      <c r="R903" t="s">
        <v>91</v>
      </c>
      <c r="S903" t="s">
        <v>105</v>
      </c>
      <c r="T903" t="s">
        <v>114</v>
      </c>
    </row>
    <row r="904" spans="1:20">
      <c r="A904" t="s">
        <v>24</v>
      </c>
      <c r="B904" t="s">
        <v>31</v>
      </c>
      <c r="C904" t="s">
        <v>38</v>
      </c>
      <c r="E904" s="2">
        <v>46034.34475694445</v>
      </c>
      <c r="F904" s="2">
        <v>46034.34615740741</v>
      </c>
      <c r="G904" t="s">
        <v>50</v>
      </c>
      <c r="H904" t="s">
        <v>51</v>
      </c>
      <c r="I904">
        <v>8</v>
      </c>
      <c r="J904">
        <v>8</v>
      </c>
      <c r="K904" t="s">
        <v>56</v>
      </c>
      <c r="L904" t="s">
        <v>67</v>
      </c>
      <c r="N904" t="s">
        <v>74</v>
      </c>
      <c r="O904">
        <v>121</v>
      </c>
      <c r="P904" t="s">
        <v>79</v>
      </c>
      <c r="Q904" t="s">
        <v>85</v>
      </c>
      <c r="R904" t="s">
        <v>91</v>
      </c>
      <c r="S904" t="s">
        <v>105</v>
      </c>
      <c r="T904" t="s">
        <v>114</v>
      </c>
    </row>
    <row r="905" spans="1:20">
      <c r="A905" t="s">
        <v>22</v>
      </c>
      <c r="B905" t="s">
        <v>29</v>
      </c>
      <c r="C905" t="s">
        <v>38</v>
      </c>
      <c r="E905" s="2">
        <v>46034.34585648148</v>
      </c>
      <c r="F905" s="2">
        <v>46034.34635416666</v>
      </c>
      <c r="G905" t="s">
        <v>50</v>
      </c>
      <c r="H905" t="s">
        <v>51</v>
      </c>
      <c r="I905">
        <v>8</v>
      </c>
      <c r="J905">
        <v>8</v>
      </c>
      <c r="K905" t="s">
        <v>54</v>
      </c>
      <c r="L905" t="s">
        <v>64</v>
      </c>
      <c r="M905" t="s">
        <v>69</v>
      </c>
      <c r="N905" t="s">
        <v>74</v>
      </c>
      <c r="O905">
        <v>43</v>
      </c>
      <c r="P905" t="s">
        <v>79</v>
      </c>
      <c r="Q905" t="s">
        <v>85</v>
      </c>
      <c r="R905" t="s">
        <v>91</v>
      </c>
      <c r="S905" t="s">
        <v>105</v>
      </c>
      <c r="T905" t="s">
        <v>114</v>
      </c>
    </row>
    <row r="906" spans="1:20">
      <c r="A906" t="s">
        <v>24</v>
      </c>
      <c r="B906" t="s">
        <v>31</v>
      </c>
      <c r="C906" t="s">
        <v>37</v>
      </c>
      <c r="E906" s="2">
        <v>46034.34615740741</v>
      </c>
      <c r="F906" s="2">
        <v>46034.34616898148</v>
      </c>
      <c r="G906" t="s">
        <v>50</v>
      </c>
      <c r="H906" t="s">
        <v>51</v>
      </c>
      <c r="I906">
        <v>8</v>
      </c>
      <c r="J906">
        <v>8</v>
      </c>
      <c r="K906" t="s">
        <v>56</v>
      </c>
      <c r="L906" t="s">
        <v>67</v>
      </c>
      <c r="N906" t="s">
        <v>74</v>
      </c>
      <c r="O906">
        <v>1</v>
      </c>
      <c r="P906" t="s">
        <v>81</v>
      </c>
      <c r="Q906" t="s">
        <v>85</v>
      </c>
      <c r="R906" t="s">
        <v>93</v>
      </c>
      <c r="S906" t="s">
        <v>107</v>
      </c>
      <c r="T906" t="s">
        <v>114</v>
      </c>
    </row>
    <row r="907" spans="1:20">
      <c r="A907" t="s">
        <v>24</v>
      </c>
      <c r="B907" t="s">
        <v>31</v>
      </c>
      <c r="C907" t="s">
        <v>37</v>
      </c>
      <c r="E907" s="2">
        <v>46034.34616898148</v>
      </c>
      <c r="F907" s="2">
        <v>46034.34658564815</v>
      </c>
      <c r="G907" t="s">
        <v>50</v>
      </c>
      <c r="H907" t="s">
        <v>51</v>
      </c>
      <c r="I907">
        <v>8</v>
      </c>
      <c r="J907">
        <v>8</v>
      </c>
      <c r="K907" t="s">
        <v>56</v>
      </c>
      <c r="L907" t="s">
        <v>67</v>
      </c>
      <c r="N907" t="s">
        <v>75</v>
      </c>
      <c r="O907">
        <v>36</v>
      </c>
      <c r="P907" t="s">
        <v>81</v>
      </c>
      <c r="Q907" t="s">
        <v>85</v>
      </c>
      <c r="R907" t="s">
        <v>93</v>
      </c>
      <c r="S907" t="s">
        <v>107</v>
      </c>
      <c r="T907" t="s">
        <v>114</v>
      </c>
    </row>
    <row r="908" spans="1:20">
      <c r="A908" t="s">
        <v>22</v>
      </c>
      <c r="B908" t="s">
        <v>29</v>
      </c>
      <c r="C908" t="s">
        <v>37</v>
      </c>
      <c r="E908" s="2">
        <v>46034.34635416666</v>
      </c>
      <c r="F908" s="2">
        <v>46034.34670138889</v>
      </c>
      <c r="G908" t="s">
        <v>50</v>
      </c>
      <c r="H908" t="s">
        <v>51</v>
      </c>
      <c r="I908">
        <v>8</v>
      </c>
      <c r="J908">
        <v>8</v>
      </c>
      <c r="K908" t="s">
        <v>54</v>
      </c>
      <c r="L908" t="s">
        <v>64</v>
      </c>
      <c r="M908" t="s">
        <v>69</v>
      </c>
      <c r="N908" t="s">
        <v>74</v>
      </c>
      <c r="O908">
        <v>30</v>
      </c>
      <c r="P908" t="s">
        <v>81</v>
      </c>
      <c r="Q908" t="s">
        <v>85</v>
      </c>
      <c r="R908" t="s">
        <v>93</v>
      </c>
      <c r="S908" t="s">
        <v>107</v>
      </c>
      <c r="T908" t="s">
        <v>114</v>
      </c>
    </row>
    <row r="909" spans="1:20">
      <c r="A909" t="s">
        <v>24</v>
      </c>
      <c r="B909" t="s">
        <v>31</v>
      </c>
      <c r="C909" t="s">
        <v>37</v>
      </c>
      <c r="E909" s="2">
        <v>46034.34658564815</v>
      </c>
      <c r="F909" s="2">
        <v>46034.34659722223</v>
      </c>
      <c r="G909" t="s">
        <v>50</v>
      </c>
      <c r="H909" t="s">
        <v>51</v>
      </c>
      <c r="I909">
        <v>8</v>
      </c>
      <c r="J909">
        <v>8</v>
      </c>
      <c r="K909" t="s">
        <v>56</v>
      </c>
      <c r="L909" t="s">
        <v>67</v>
      </c>
      <c r="N909" t="s">
        <v>74</v>
      </c>
      <c r="O909">
        <v>1</v>
      </c>
      <c r="P909" t="s">
        <v>81</v>
      </c>
      <c r="Q909" t="s">
        <v>85</v>
      </c>
      <c r="R909" t="s">
        <v>93</v>
      </c>
      <c r="S909" t="s">
        <v>107</v>
      </c>
      <c r="T909" t="s">
        <v>114</v>
      </c>
    </row>
    <row r="910" spans="1:20">
      <c r="A910" t="s">
        <v>24</v>
      </c>
      <c r="B910" t="s">
        <v>31</v>
      </c>
      <c r="C910" t="s">
        <v>39</v>
      </c>
      <c r="E910" s="2">
        <v>46034.34659722223</v>
      </c>
      <c r="F910" s="2">
        <v>46034.34758101852</v>
      </c>
      <c r="G910" t="s">
        <v>50</v>
      </c>
      <c r="H910" t="s">
        <v>51</v>
      </c>
      <c r="I910">
        <v>8</v>
      </c>
      <c r="J910">
        <v>8</v>
      </c>
      <c r="K910" t="s">
        <v>56</v>
      </c>
      <c r="L910" t="s">
        <v>67</v>
      </c>
      <c r="N910" t="s">
        <v>74</v>
      </c>
      <c r="O910">
        <v>85</v>
      </c>
      <c r="P910" t="s">
        <v>81</v>
      </c>
      <c r="Q910" t="s">
        <v>85</v>
      </c>
      <c r="R910" t="s">
        <v>93</v>
      </c>
      <c r="S910" t="s">
        <v>107</v>
      </c>
      <c r="T910" t="s">
        <v>114</v>
      </c>
    </row>
    <row r="911" spans="1:20">
      <c r="A911" t="s">
        <v>22</v>
      </c>
      <c r="B911" t="s">
        <v>29</v>
      </c>
      <c r="C911" t="s">
        <v>39</v>
      </c>
      <c r="E911" s="2">
        <v>46034.34670138889</v>
      </c>
      <c r="F911" s="2">
        <v>46034.34712962963</v>
      </c>
      <c r="G911" t="s">
        <v>50</v>
      </c>
      <c r="H911" t="s">
        <v>51</v>
      </c>
      <c r="I911">
        <v>8</v>
      </c>
      <c r="J911">
        <v>8</v>
      </c>
      <c r="K911" t="s">
        <v>54</v>
      </c>
      <c r="L911" t="s">
        <v>64</v>
      </c>
      <c r="M911" t="s">
        <v>69</v>
      </c>
      <c r="N911" t="s">
        <v>74</v>
      </c>
      <c r="O911">
        <v>37</v>
      </c>
      <c r="P911" t="s">
        <v>81</v>
      </c>
      <c r="Q911" t="s">
        <v>85</v>
      </c>
      <c r="R911" t="s">
        <v>93</v>
      </c>
      <c r="S911" t="s">
        <v>107</v>
      </c>
      <c r="T911" t="s">
        <v>114</v>
      </c>
    </row>
    <row r="912" spans="1:20">
      <c r="A912" t="s">
        <v>22</v>
      </c>
      <c r="B912" t="s">
        <v>29</v>
      </c>
      <c r="C912" t="s">
        <v>37</v>
      </c>
      <c r="E912" s="2">
        <v>46034.34712962963</v>
      </c>
      <c r="F912" s="2">
        <v>46034.34844907407</v>
      </c>
      <c r="G912" t="s">
        <v>50</v>
      </c>
      <c r="H912" t="s">
        <v>51</v>
      </c>
      <c r="I912">
        <v>8</v>
      </c>
      <c r="J912">
        <v>8</v>
      </c>
      <c r="K912" t="s">
        <v>54</v>
      </c>
      <c r="L912" t="s">
        <v>64</v>
      </c>
      <c r="M912" t="s">
        <v>69</v>
      </c>
      <c r="N912" t="s">
        <v>74</v>
      </c>
      <c r="O912">
        <v>114</v>
      </c>
      <c r="P912" t="s">
        <v>81</v>
      </c>
      <c r="Q912" t="s">
        <v>85</v>
      </c>
      <c r="R912" t="s">
        <v>93</v>
      </c>
      <c r="S912" t="s">
        <v>107</v>
      </c>
      <c r="T912" t="s">
        <v>114</v>
      </c>
    </row>
    <row r="913" spans="1:20">
      <c r="A913" t="s">
        <v>24</v>
      </c>
      <c r="B913" t="s">
        <v>31</v>
      </c>
      <c r="C913" t="s">
        <v>37</v>
      </c>
      <c r="E913" s="2">
        <v>46034.34758101852</v>
      </c>
      <c r="F913" s="2">
        <v>46034.34767361111</v>
      </c>
      <c r="G913" t="s">
        <v>50</v>
      </c>
      <c r="H913" t="s">
        <v>51</v>
      </c>
      <c r="I913">
        <v>8</v>
      </c>
      <c r="J913">
        <v>8</v>
      </c>
      <c r="K913" t="s">
        <v>56</v>
      </c>
      <c r="L913" t="s">
        <v>67</v>
      </c>
      <c r="N913" t="s">
        <v>74</v>
      </c>
      <c r="O913">
        <v>8</v>
      </c>
      <c r="P913" t="s">
        <v>81</v>
      </c>
      <c r="Q913" t="s">
        <v>85</v>
      </c>
      <c r="R913" t="s">
        <v>93</v>
      </c>
      <c r="S913" t="s">
        <v>107</v>
      </c>
      <c r="T913" t="s">
        <v>114</v>
      </c>
    </row>
    <row r="914" spans="1:20">
      <c r="A914" t="s">
        <v>24</v>
      </c>
      <c r="B914" t="s">
        <v>31</v>
      </c>
      <c r="C914" t="s">
        <v>37</v>
      </c>
      <c r="E914" s="2">
        <v>46034.34767361111</v>
      </c>
      <c r="F914" s="2">
        <v>46034.34798611111</v>
      </c>
      <c r="G914" t="s">
        <v>50</v>
      </c>
      <c r="H914" t="s">
        <v>51</v>
      </c>
      <c r="I914">
        <v>8</v>
      </c>
      <c r="J914">
        <v>8</v>
      </c>
      <c r="K914" t="s">
        <v>56</v>
      </c>
      <c r="L914" t="s">
        <v>67</v>
      </c>
      <c r="N914" t="s">
        <v>76</v>
      </c>
      <c r="O914">
        <v>27</v>
      </c>
      <c r="P914" t="s">
        <v>81</v>
      </c>
      <c r="Q914" t="s">
        <v>85</v>
      </c>
      <c r="R914" t="s">
        <v>93</v>
      </c>
      <c r="S914" t="s">
        <v>107</v>
      </c>
      <c r="T914" t="s">
        <v>114</v>
      </c>
    </row>
    <row r="915" spans="1:20">
      <c r="A915" t="s">
        <v>24</v>
      </c>
      <c r="B915" t="s">
        <v>31</v>
      </c>
      <c r="C915" t="s">
        <v>37</v>
      </c>
      <c r="E915" s="2">
        <v>46034.34798611111</v>
      </c>
      <c r="F915" s="2">
        <v>46034.34965277778</v>
      </c>
      <c r="G915" t="s">
        <v>50</v>
      </c>
      <c r="H915" t="s">
        <v>51</v>
      </c>
      <c r="I915">
        <v>8</v>
      </c>
      <c r="J915">
        <v>8</v>
      </c>
      <c r="K915" t="s">
        <v>56</v>
      </c>
      <c r="L915" t="s">
        <v>67</v>
      </c>
      <c r="N915" t="s">
        <v>74</v>
      </c>
      <c r="O915">
        <v>144</v>
      </c>
      <c r="P915" t="s">
        <v>81</v>
      </c>
      <c r="Q915" t="s">
        <v>85</v>
      </c>
      <c r="R915" t="s">
        <v>93</v>
      </c>
      <c r="S915" t="s">
        <v>107</v>
      </c>
      <c r="T915" t="s">
        <v>114</v>
      </c>
    </row>
    <row r="916" spans="1:20">
      <c r="A916" t="s">
        <v>22</v>
      </c>
      <c r="B916" t="s">
        <v>29</v>
      </c>
      <c r="C916" t="s">
        <v>38</v>
      </c>
      <c r="E916" s="2">
        <v>46034.34844907407</v>
      </c>
      <c r="F916" s="2">
        <v>46034.34856481481</v>
      </c>
      <c r="G916" t="s">
        <v>50</v>
      </c>
      <c r="H916" t="s">
        <v>51</v>
      </c>
      <c r="I916">
        <v>8</v>
      </c>
      <c r="J916">
        <v>8</v>
      </c>
      <c r="K916" t="s">
        <v>54</v>
      </c>
      <c r="L916" t="s">
        <v>64</v>
      </c>
      <c r="M916" t="s">
        <v>69</v>
      </c>
      <c r="N916" t="s">
        <v>74</v>
      </c>
      <c r="O916">
        <v>10</v>
      </c>
      <c r="P916" t="s">
        <v>79</v>
      </c>
      <c r="Q916" t="s">
        <v>85</v>
      </c>
      <c r="R916" t="s">
        <v>91</v>
      </c>
      <c r="S916" t="s">
        <v>105</v>
      </c>
      <c r="T916" t="s">
        <v>114</v>
      </c>
    </row>
    <row r="917" spans="1:20">
      <c r="A917" t="s">
        <v>22</v>
      </c>
      <c r="B917" t="s">
        <v>29</v>
      </c>
      <c r="C917" t="s">
        <v>36</v>
      </c>
      <c r="E917" s="2">
        <v>46034.34856481481</v>
      </c>
      <c r="F917" s="2">
        <v>46034.36777777778</v>
      </c>
      <c r="G917" t="s">
        <v>50</v>
      </c>
      <c r="H917" t="s">
        <v>51</v>
      </c>
      <c r="I917">
        <v>8</v>
      </c>
      <c r="J917">
        <v>8</v>
      </c>
      <c r="K917" t="s">
        <v>54</v>
      </c>
      <c r="L917" t="s">
        <v>64</v>
      </c>
      <c r="M917" t="s">
        <v>69</v>
      </c>
      <c r="N917" t="s">
        <v>74</v>
      </c>
      <c r="O917">
        <v>1660</v>
      </c>
      <c r="P917" t="s">
        <v>79</v>
      </c>
      <c r="Q917" t="s">
        <v>85</v>
      </c>
      <c r="R917" t="s">
        <v>91</v>
      </c>
      <c r="S917" t="s">
        <v>105</v>
      </c>
      <c r="T917" t="s">
        <v>114</v>
      </c>
    </row>
    <row r="918" spans="1:20">
      <c r="A918" t="s">
        <v>24</v>
      </c>
      <c r="B918" t="s">
        <v>31</v>
      </c>
      <c r="C918" t="s">
        <v>38</v>
      </c>
      <c r="E918" s="2">
        <v>46034.34965277778</v>
      </c>
      <c r="F918" s="2">
        <v>46034.34983796296</v>
      </c>
      <c r="G918" t="s">
        <v>50</v>
      </c>
      <c r="H918" t="s">
        <v>51</v>
      </c>
      <c r="I918">
        <v>8</v>
      </c>
      <c r="J918">
        <v>8</v>
      </c>
      <c r="K918" t="s">
        <v>56</v>
      </c>
      <c r="L918" t="s">
        <v>67</v>
      </c>
      <c r="N918" t="s">
        <v>74</v>
      </c>
      <c r="O918">
        <v>16</v>
      </c>
      <c r="P918" t="s">
        <v>79</v>
      </c>
      <c r="Q918" t="s">
        <v>85</v>
      </c>
      <c r="R918" t="s">
        <v>91</v>
      </c>
      <c r="S918" t="s">
        <v>105</v>
      </c>
      <c r="T918" t="s">
        <v>114</v>
      </c>
    </row>
    <row r="919" spans="1:20">
      <c r="A919" t="s">
        <v>24</v>
      </c>
      <c r="B919" t="s">
        <v>31</v>
      </c>
      <c r="C919" t="s">
        <v>36</v>
      </c>
      <c r="E919" s="2">
        <v>46034.34983796296</v>
      </c>
      <c r="F919" s="2">
        <v>46034.36271990741</v>
      </c>
      <c r="G919" t="s">
        <v>50</v>
      </c>
      <c r="H919" t="s">
        <v>51</v>
      </c>
      <c r="I919">
        <v>8</v>
      </c>
      <c r="J919">
        <v>8</v>
      </c>
      <c r="K919" t="s">
        <v>56</v>
      </c>
      <c r="L919" t="s">
        <v>67</v>
      </c>
      <c r="N919" t="s">
        <v>74</v>
      </c>
      <c r="O919">
        <v>1113</v>
      </c>
      <c r="P919" t="s">
        <v>79</v>
      </c>
      <c r="Q919" t="s">
        <v>85</v>
      </c>
      <c r="R919" t="s">
        <v>91</v>
      </c>
      <c r="S919" t="s">
        <v>105</v>
      </c>
      <c r="T919" t="s">
        <v>114</v>
      </c>
    </row>
    <row r="920" spans="1:20">
      <c r="A920" t="s">
        <v>23</v>
      </c>
      <c r="B920" t="s">
        <v>30</v>
      </c>
      <c r="C920" t="s">
        <v>38</v>
      </c>
      <c r="E920" s="2">
        <v>46034.35053240741</v>
      </c>
      <c r="F920" s="2">
        <v>46034.35094907408</v>
      </c>
      <c r="G920" t="s">
        <v>50</v>
      </c>
      <c r="H920" t="s">
        <v>51</v>
      </c>
      <c r="I920">
        <v>8</v>
      </c>
      <c r="J920">
        <v>8</v>
      </c>
      <c r="K920" t="s">
        <v>53</v>
      </c>
      <c r="L920" t="s">
        <v>65</v>
      </c>
      <c r="M920" t="s">
        <v>69</v>
      </c>
      <c r="N920" t="s">
        <v>74</v>
      </c>
      <c r="O920">
        <v>36</v>
      </c>
      <c r="P920" t="s">
        <v>79</v>
      </c>
      <c r="Q920" t="s">
        <v>85</v>
      </c>
      <c r="R920" t="s">
        <v>91</v>
      </c>
      <c r="S920" t="s">
        <v>105</v>
      </c>
      <c r="T920" t="s">
        <v>114</v>
      </c>
    </row>
    <row r="921" spans="1:20">
      <c r="A921" t="s">
        <v>23</v>
      </c>
      <c r="B921" t="s">
        <v>30</v>
      </c>
      <c r="C921" t="s">
        <v>37</v>
      </c>
      <c r="E921" s="2">
        <v>46034.35094907408</v>
      </c>
      <c r="F921" s="2">
        <v>46034.35096064815</v>
      </c>
      <c r="G921" t="s">
        <v>50</v>
      </c>
      <c r="H921" t="s">
        <v>51</v>
      </c>
      <c r="I921">
        <v>8</v>
      </c>
      <c r="J921">
        <v>8</v>
      </c>
      <c r="K921" t="s">
        <v>53</v>
      </c>
      <c r="L921" t="s">
        <v>65</v>
      </c>
      <c r="M921" t="s">
        <v>69</v>
      </c>
      <c r="N921" t="s">
        <v>74</v>
      </c>
      <c r="O921">
        <v>1</v>
      </c>
      <c r="P921" t="s">
        <v>81</v>
      </c>
      <c r="Q921" t="s">
        <v>85</v>
      </c>
      <c r="R921" t="s">
        <v>93</v>
      </c>
      <c r="S921" t="s">
        <v>107</v>
      </c>
      <c r="T921" t="s">
        <v>114</v>
      </c>
    </row>
    <row r="922" spans="1:20">
      <c r="A922" t="s">
        <v>23</v>
      </c>
      <c r="B922" t="s">
        <v>30</v>
      </c>
      <c r="C922" t="s">
        <v>37</v>
      </c>
      <c r="E922" s="2">
        <v>46034.35096064815</v>
      </c>
      <c r="F922" s="2">
        <v>46034.35118055555</v>
      </c>
      <c r="G922" t="s">
        <v>50</v>
      </c>
      <c r="H922" t="s">
        <v>51</v>
      </c>
      <c r="I922">
        <v>8</v>
      </c>
      <c r="J922">
        <v>8</v>
      </c>
      <c r="K922" t="s">
        <v>53</v>
      </c>
      <c r="L922" t="s">
        <v>65</v>
      </c>
      <c r="M922" t="s">
        <v>69</v>
      </c>
      <c r="N922" t="s">
        <v>75</v>
      </c>
      <c r="O922">
        <v>19</v>
      </c>
      <c r="P922" t="s">
        <v>81</v>
      </c>
      <c r="Q922" t="s">
        <v>85</v>
      </c>
      <c r="R922" t="s">
        <v>93</v>
      </c>
      <c r="S922" t="s">
        <v>107</v>
      </c>
      <c r="T922" t="s">
        <v>114</v>
      </c>
    </row>
    <row r="923" spans="1:20">
      <c r="A923" t="s">
        <v>23</v>
      </c>
      <c r="B923" t="s">
        <v>30</v>
      </c>
      <c r="C923" t="s">
        <v>37</v>
      </c>
      <c r="E923" s="2">
        <v>46034.35118055555</v>
      </c>
      <c r="F923" s="2">
        <v>46034.35119212963</v>
      </c>
      <c r="G923" t="s">
        <v>50</v>
      </c>
      <c r="H923" t="s">
        <v>51</v>
      </c>
      <c r="I923">
        <v>8</v>
      </c>
      <c r="J923">
        <v>8</v>
      </c>
      <c r="K923" t="s">
        <v>53</v>
      </c>
      <c r="L923" t="s">
        <v>65</v>
      </c>
      <c r="M923" t="s">
        <v>69</v>
      </c>
      <c r="N923" t="s">
        <v>74</v>
      </c>
      <c r="O923">
        <v>1</v>
      </c>
      <c r="P923" t="s">
        <v>81</v>
      </c>
      <c r="Q923" t="s">
        <v>85</v>
      </c>
      <c r="R923" t="s">
        <v>93</v>
      </c>
      <c r="S923" t="s">
        <v>107</v>
      </c>
      <c r="T923" t="s">
        <v>114</v>
      </c>
    </row>
    <row r="924" spans="1:20">
      <c r="A924" t="s">
        <v>23</v>
      </c>
      <c r="B924" t="s">
        <v>30</v>
      </c>
      <c r="C924" t="s">
        <v>39</v>
      </c>
      <c r="E924" s="2">
        <v>46034.35119212963</v>
      </c>
      <c r="F924" s="2">
        <v>46034.35145833333</v>
      </c>
      <c r="G924" t="s">
        <v>50</v>
      </c>
      <c r="H924" t="s">
        <v>51</v>
      </c>
      <c r="I924">
        <v>8</v>
      </c>
      <c r="J924">
        <v>8</v>
      </c>
      <c r="K924" t="s">
        <v>53</v>
      </c>
      <c r="L924" t="s">
        <v>65</v>
      </c>
      <c r="M924" t="s">
        <v>69</v>
      </c>
      <c r="N924" t="s">
        <v>74</v>
      </c>
      <c r="O924">
        <v>23</v>
      </c>
      <c r="P924" t="s">
        <v>81</v>
      </c>
      <c r="Q924" t="s">
        <v>85</v>
      </c>
      <c r="R924" t="s">
        <v>93</v>
      </c>
      <c r="S924" t="s">
        <v>107</v>
      </c>
      <c r="T924" t="s">
        <v>114</v>
      </c>
    </row>
    <row r="925" spans="1:20">
      <c r="A925" t="s">
        <v>23</v>
      </c>
      <c r="B925" t="s">
        <v>30</v>
      </c>
      <c r="C925" t="s">
        <v>37</v>
      </c>
      <c r="E925" s="2">
        <v>46034.35145833333</v>
      </c>
      <c r="F925" s="2">
        <v>46034.35201388889</v>
      </c>
      <c r="G925" t="s">
        <v>50</v>
      </c>
      <c r="H925" t="s">
        <v>51</v>
      </c>
      <c r="I925">
        <v>8</v>
      </c>
      <c r="J925">
        <v>8</v>
      </c>
      <c r="K925" t="s">
        <v>53</v>
      </c>
      <c r="L925" t="s">
        <v>65</v>
      </c>
      <c r="M925" t="s">
        <v>69</v>
      </c>
      <c r="N925" t="s">
        <v>74</v>
      </c>
      <c r="O925">
        <v>48</v>
      </c>
      <c r="P925" t="s">
        <v>81</v>
      </c>
      <c r="Q925" t="s">
        <v>85</v>
      </c>
      <c r="R925" t="s">
        <v>93</v>
      </c>
      <c r="S925" t="s">
        <v>107</v>
      </c>
      <c r="T925" t="s">
        <v>114</v>
      </c>
    </row>
    <row r="926" spans="1:20">
      <c r="A926" t="s">
        <v>23</v>
      </c>
      <c r="B926" t="s">
        <v>30</v>
      </c>
      <c r="C926" t="s">
        <v>38</v>
      </c>
      <c r="E926" s="2">
        <v>46034.35201388889</v>
      </c>
      <c r="F926" s="2">
        <v>46034.36111111111</v>
      </c>
      <c r="G926" t="s">
        <v>50</v>
      </c>
      <c r="H926" t="s">
        <v>51</v>
      </c>
      <c r="I926">
        <v>8</v>
      </c>
      <c r="J926">
        <v>8</v>
      </c>
      <c r="K926" t="s">
        <v>53</v>
      </c>
      <c r="L926" t="s">
        <v>65</v>
      </c>
      <c r="M926" t="s">
        <v>69</v>
      </c>
      <c r="N926" t="s">
        <v>74</v>
      </c>
      <c r="O926">
        <v>786</v>
      </c>
      <c r="P926" t="s">
        <v>79</v>
      </c>
      <c r="Q926" t="s">
        <v>85</v>
      </c>
      <c r="R926" t="s">
        <v>91</v>
      </c>
      <c r="S926" t="s">
        <v>105</v>
      </c>
      <c r="T926" t="s">
        <v>114</v>
      </c>
    </row>
    <row r="927" spans="1:20">
      <c r="A927" t="s">
        <v>20</v>
      </c>
      <c r="B927" t="s">
        <v>27</v>
      </c>
      <c r="C927" t="s">
        <v>38</v>
      </c>
      <c r="E927" s="2">
        <v>46034.35460648148</v>
      </c>
      <c r="F927" s="2">
        <v>46034.3555324074</v>
      </c>
      <c r="G927" t="s">
        <v>50</v>
      </c>
      <c r="H927" t="s">
        <v>51</v>
      </c>
      <c r="I927">
        <v>8</v>
      </c>
      <c r="J927">
        <v>8</v>
      </c>
      <c r="K927" t="s">
        <v>53</v>
      </c>
      <c r="L927" t="s">
        <v>66</v>
      </c>
      <c r="O927">
        <v>80</v>
      </c>
      <c r="P927" t="s">
        <v>79</v>
      </c>
      <c r="Q927" t="s">
        <v>85</v>
      </c>
      <c r="R927" t="s">
        <v>91</v>
      </c>
      <c r="S927" t="s">
        <v>105</v>
      </c>
      <c r="T927" t="s">
        <v>114</v>
      </c>
    </row>
    <row r="928" spans="1:20">
      <c r="A928" t="s">
        <v>26</v>
      </c>
      <c r="B928" t="s">
        <v>33</v>
      </c>
      <c r="C928" t="s">
        <v>37</v>
      </c>
      <c r="E928" s="2">
        <v>46034.3553587963</v>
      </c>
      <c r="F928" s="2">
        <v>46034.35538194444</v>
      </c>
      <c r="G928" t="s">
        <v>50</v>
      </c>
      <c r="H928" t="s">
        <v>51</v>
      </c>
      <c r="I928">
        <v>8</v>
      </c>
      <c r="J928">
        <v>8</v>
      </c>
      <c r="L928" t="s">
        <v>63</v>
      </c>
      <c r="M928" t="s">
        <v>71</v>
      </c>
      <c r="N928" t="s">
        <v>74</v>
      </c>
      <c r="O928">
        <v>2</v>
      </c>
      <c r="P928" t="s">
        <v>81</v>
      </c>
      <c r="Q928" t="s">
        <v>85</v>
      </c>
      <c r="R928" t="s">
        <v>93</v>
      </c>
      <c r="S928" t="s">
        <v>107</v>
      </c>
      <c r="T928" t="s">
        <v>114</v>
      </c>
    </row>
    <row r="929" spans="1:20">
      <c r="A929" t="s">
        <v>26</v>
      </c>
      <c r="B929" t="s">
        <v>33</v>
      </c>
      <c r="C929" t="s">
        <v>37</v>
      </c>
      <c r="E929" s="2">
        <v>46034.35538194444</v>
      </c>
      <c r="F929" s="2">
        <v>46034.35559027778</v>
      </c>
      <c r="G929" t="s">
        <v>50</v>
      </c>
      <c r="H929" t="s">
        <v>51</v>
      </c>
      <c r="I929">
        <v>8</v>
      </c>
      <c r="J929">
        <v>8</v>
      </c>
      <c r="L929" t="s">
        <v>63</v>
      </c>
      <c r="M929" t="s">
        <v>73</v>
      </c>
      <c r="N929" t="s">
        <v>75</v>
      </c>
      <c r="O929">
        <v>18</v>
      </c>
      <c r="P929" t="s">
        <v>81</v>
      </c>
      <c r="Q929" t="s">
        <v>85</v>
      </c>
      <c r="R929" t="s">
        <v>93</v>
      </c>
      <c r="S929" t="s">
        <v>107</v>
      </c>
      <c r="T929" t="s">
        <v>114</v>
      </c>
    </row>
    <row r="930" spans="1:20">
      <c r="A930" t="s">
        <v>20</v>
      </c>
      <c r="B930" t="s">
        <v>27</v>
      </c>
      <c r="C930" t="s">
        <v>39</v>
      </c>
      <c r="E930" s="2">
        <v>46034.3555324074</v>
      </c>
      <c r="F930" s="2">
        <v>46034.35702546296</v>
      </c>
      <c r="G930" t="s">
        <v>50</v>
      </c>
      <c r="H930" t="s">
        <v>51</v>
      </c>
      <c r="I930">
        <v>8</v>
      </c>
      <c r="J930">
        <v>8</v>
      </c>
      <c r="K930" t="s">
        <v>53</v>
      </c>
      <c r="L930" t="s">
        <v>66</v>
      </c>
      <c r="O930">
        <v>129</v>
      </c>
      <c r="P930" t="s">
        <v>81</v>
      </c>
      <c r="Q930" t="s">
        <v>85</v>
      </c>
      <c r="R930" t="s">
        <v>93</v>
      </c>
      <c r="S930" t="s">
        <v>107</v>
      </c>
      <c r="T930" t="s">
        <v>114</v>
      </c>
    </row>
    <row r="931" spans="1:20">
      <c r="A931" t="s">
        <v>26</v>
      </c>
      <c r="B931" t="s">
        <v>33</v>
      </c>
      <c r="C931" t="s">
        <v>37</v>
      </c>
      <c r="E931" s="2">
        <v>46034.35559027778</v>
      </c>
      <c r="F931" s="2">
        <v>46034.35564814815</v>
      </c>
      <c r="G931" t="s">
        <v>50</v>
      </c>
      <c r="H931" t="s">
        <v>51</v>
      </c>
      <c r="I931">
        <v>8</v>
      </c>
      <c r="J931">
        <v>8</v>
      </c>
      <c r="L931" t="s">
        <v>63</v>
      </c>
      <c r="M931" t="s">
        <v>71</v>
      </c>
      <c r="N931" t="s">
        <v>74</v>
      </c>
      <c r="O931">
        <v>5</v>
      </c>
      <c r="P931" t="s">
        <v>81</v>
      </c>
      <c r="Q931" t="s">
        <v>85</v>
      </c>
      <c r="R931" t="s">
        <v>93</v>
      </c>
      <c r="S931" t="s">
        <v>107</v>
      </c>
      <c r="T931" t="s">
        <v>114</v>
      </c>
    </row>
    <row r="932" spans="1:20">
      <c r="A932" t="s">
        <v>26</v>
      </c>
      <c r="B932" t="s">
        <v>33</v>
      </c>
      <c r="C932" t="s">
        <v>39</v>
      </c>
      <c r="E932" s="2">
        <v>46034.35564814815</v>
      </c>
      <c r="F932" s="2">
        <v>46034.35704861111</v>
      </c>
      <c r="G932" t="s">
        <v>50</v>
      </c>
      <c r="H932" t="s">
        <v>51</v>
      </c>
      <c r="I932">
        <v>8</v>
      </c>
      <c r="J932">
        <v>8</v>
      </c>
      <c r="L932" t="s">
        <v>63</v>
      </c>
      <c r="M932" t="s">
        <v>71</v>
      </c>
      <c r="N932" t="s">
        <v>74</v>
      </c>
      <c r="O932">
        <v>121</v>
      </c>
      <c r="P932" t="s">
        <v>81</v>
      </c>
      <c r="Q932" t="s">
        <v>85</v>
      </c>
      <c r="R932" t="s">
        <v>93</v>
      </c>
      <c r="S932" t="s">
        <v>107</v>
      </c>
      <c r="T932" t="s">
        <v>114</v>
      </c>
    </row>
    <row r="933" spans="1:20">
      <c r="A933" t="s">
        <v>20</v>
      </c>
      <c r="B933" t="s">
        <v>27</v>
      </c>
      <c r="C933" t="s">
        <v>37</v>
      </c>
      <c r="E933" s="2">
        <v>46034.35702546296</v>
      </c>
      <c r="F933" s="2">
        <v>46034.35703703704</v>
      </c>
      <c r="G933" t="s">
        <v>50</v>
      </c>
      <c r="H933" t="s">
        <v>51</v>
      </c>
      <c r="I933">
        <v>8</v>
      </c>
      <c r="J933">
        <v>8</v>
      </c>
      <c r="K933" t="s">
        <v>53</v>
      </c>
      <c r="L933" t="s">
        <v>66</v>
      </c>
      <c r="O933">
        <v>1</v>
      </c>
      <c r="P933" t="s">
        <v>81</v>
      </c>
      <c r="Q933" t="s">
        <v>85</v>
      </c>
      <c r="R933" t="s">
        <v>93</v>
      </c>
      <c r="S933" t="s">
        <v>107</v>
      </c>
      <c r="T933" t="s">
        <v>114</v>
      </c>
    </row>
    <row r="934" spans="1:20">
      <c r="A934" t="s">
        <v>20</v>
      </c>
      <c r="B934" t="s">
        <v>27</v>
      </c>
      <c r="C934" t="s">
        <v>38</v>
      </c>
      <c r="E934" s="2">
        <v>46034.35703703704</v>
      </c>
      <c r="F934" s="2">
        <v>46034.3603125</v>
      </c>
      <c r="G934" t="s">
        <v>50</v>
      </c>
      <c r="H934" t="s">
        <v>51</v>
      </c>
      <c r="I934">
        <v>8</v>
      </c>
      <c r="J934">
        <v>8</v>
      </c>
      <c r="K934" t="s">
        <v>53</v>
      </c>
      <c r="L934" t="s">
        <v>66</v>
      </c>
      <c r="O934">
        <v>283</v>
      </c>
      <c r="P934" t="s">
        <v>79</v>
      </c>
      <c r="Q934" t="s">
        <v>85</v>
      </c>
      <c r="R934" t="s">
        <v>91</v>
      </c>
      <c r="S934" t="s">
        <v>105</v>
      </c>
      <c r="T934" t="s">
        <v>114</v>
      </c>
    </row>
    <row r="935" spans="1:20">
      <c r="A935" t="s">
        <v>26</v>
      </c>
      <c r="B935" t="s">
        <v>33</v>
      </c>
      <c r="C935" t="s">
        <v>37</v>
      </c>
      <c r="E935" s="2">
        <v>46034.35704861111</v>
      </c>
      <c r="F935" s="2">
        <v>46034.35706018518</v>
      </c>
      <c r="G935" t="s">
        <v>50</v>
      </c>
      <c r="H935" t="s">
        <v>51</v>
      </c>
      <c r="I935">
        <v>8</v>
      </c>
      <c r="J935">
        <v>8</v>
      </c>
      <c r="L935" t="s">
        <v>63</v>
      </c>
      <c r="M935" t="s">
        <v>71</v>
      </c>
      <c r="N935" t="s">
        <v>74</v>
      </c>
      <c r="O935">
        <v>1</v>
      </c>
      <c r="P935" t="s">
        <v>81</v>
      </c>
      <c r="Q935" t="s">
        <v>85</v>
      </c>
      <c r="R935" t="s">
        <v>93</v>
      </c>
      <c r="S935" t="s">
        <v>107</v>
      </c>
      <c r="T935" t="s">
        <v>114</v>
      </c>
    </row>
    <row r="936" spans="1:20">
      <c r="A936" t="s">
        <v>26</v>
      </c>
      <c r="B936" t="s">
        <v>33</v>
      </c>
      <c r="C936" t="s">
        <v>37</v>
      </c>
      <c r="E936" s="2">
        <v>46034.35706018518</v>
      </c>
      <c r="F936" s="2">
        <v>46034.3575</v>
      </c>
      <c r="G936" t="s">
        <v>50</v>
      </c>
      <c r="H936" t="s">
        <v>51</v>
      </c>
      <c r="I936">
        <v>8</v>
      </c>
      <c r="J936">
        <v>8</v>
      </c>
      <c r="L936" t="s">
        <v>63</v>
      </c>
      <c r="M936" t="s">
        <v>73</v>
      </c>
      <c r="N936" t="s">
        <v>76</v>
      </c>
      <c r="O936">
        <v>38</v>
      </c>
      <c r="P936" t="s">
        <v>81</v>
      </c>
      <c r="Q936" t="s">
        <v>85</v>
      </c>
      <c r="R936" t="s">
        <v>93</v>
      </c>
      <c r="S936" t="s">
        <v>107</v>
      </c>
      <c r="T936" t="s">
        <v>114</v>
      </c>
    </row>
    <row r="937" spans="1:20">
      <c r="A937" t="s">
        <v>26</v>
      </c>
      <c r="B937" t="s">
        <v>33</v>
      </c>
      <c r="C937" t="s">
        <v>37</v>
      </c>
      <c r="E937" s="2">
        <v>46034.3575</v>
      </c>
      <c r="F937" s="2">
        <v>46034.35751157408</v>
      </c>
      <c r="G937" t="s">
        <v>50</v>
      </c>
      <c r="H937" t="s">
        <v>51</v>
      </c>
      <c r="I937">
        <v>8</v>
      </c>
      <c r="J937">
        <v>8</v>
      </c>
      <c r="L937" t="s">
        <v>63</v>
      </c>
      <c r="M937" t="s">
        <v>71</v>
      </c>
      <c r="N937" t="s">
        <v>74</v>
      </c>
      <c r="O937">
        <v>1</v>
      </c>
      <c r="P937" t="s">
        <v>81</v>
      </c>
      <c r="Q937" t="s">
        <v>85</v>
      </c>
      <c r="R937" t="s">
        <v>93</v>
      </c>
      <c r="S937" t="s">
        <v>107</v>
      </c>
      <c r="T937" t="s">
        <v>114</v>
      </c>
    </row>
    <row r="938" spans="1:20">
      <c r="A938" t="s">
        <v>26</v>
      </c>
      <c r="B938" t="s">
        <v>33</v>
      </c>
      <c r="C938" t="s">
        <v>38</v>
      </c>
      <c r="E938" s="2">
        <v>46034.35751157408</v>
      </c>
      <c r="F938" s="2">
        <v>46034.3641087963</v>
      </c>
      <c r="G938" t="s">
        <v>50</v>
      </c>
      <c r="H938" t="s">
        <v>51</v>
      </c>
      <c r="I938">
        <v>8</v>
      </c>
      <c r="J938">
        <v>8</v>
      </c>
      <c r="L938" t="s">
        <v>63</v>
      </c>
      <c r="M938" t="s">
        <v>71</v>
      </c>
      <c r="N938" t="s">
        <v>74</v>
      </c>
      <c r="O938">
        <v>570</v>
      </c>
      <c r="P938" t="s">
        <v>79</v>
      </c>
      <c r="Q938" t="s">
        <v>85</v>
      </c>
      <c r="R938" t="s">
        <v>91</v>
      </c>
      <c r="S938" t="s">
        <v>105</v>
      </c>
      <c r="T938" t="s">
        <v>114</v>
      </c>
    </row>
    <row r="939" spans="1:20">
      <c r="A939" t="s">
        <v>25</v>
      </c>
      <c r="B939" t="s">
        <v>32</v>
      </c>
      <c r="C939" t="s">
        <v>37</v>
      </c>
      <c r="E939" s="2">
        <v>46034.35893518518</v>
      </c>
      <c r="F939" s="2">
        <v>46034.35894675926</v>
      </c>
      <c r="G939" t="s">
        <v>50</v>
      </c>
      <c r="H939" t="s">
        <v>51</v>
      </c>
      <c r="I939">
        <v>8</v>
      </c>
      <c r="J939">
        <v>8</v>
      </c>
      <c r="K939" t="s">
        <v>53</v>
      </c>
      <c r="L939" t="s">
        <v>62</v>
      </c>
      <c r="M939" t="s">
        <v>69</v>
      </c>
      <c r="N939" t="s">
        <v>74</v>
      </c>
      <c r="O939">
        <v>1</v>
      </c>
      <c r="P939" t="s">
        <v>81</v>
      </c>
      <c r="Q939" t="s">
        <v>85</v>
      </c>
      <c r="R939" t="s">
        <v>93</v>
      </c>
      <c r="S939" t="s">
        <v>107</v>
      </c>
      <c r="T939" t="s">
        <v>114</v>
      </c>
    </row>
    <row r="940" spans="1:20">
      <c r="A940" t="s">
        <v>25</v>
      </c>
      <c r="B940" t="s">
        <v>32</v>
      </c>
      <c r="C940" t="s">
        <v>37</v>
      </c>
      <c r="E940" s="2">
        <v>46034.35894675926</v>
      </c>
      <c r="F940" s="2">
        <v>46034.35944444445</v>
      </c>
      <c r="G940" t="s">
        <v>50</v>
      </c>
      <c r="H940" t="s">
        <v>51</v>
      </c>
      <c r="I940">
        <v>8</v>
      </c>
      <c r="J940">
        <v>8</v>
      </c>
      <c r="K940" t="s">
        <v>53</v>
      </c>
      <c r="L940" t="s">
        <v>62</v>
      </c>
      <c r="M940" t="s">
        <v>69</v>
      </c>
      <c r="N940" t="s">
        <v>75</v>
      </c>
      <c r="O940">
        <v>43</v>
      </c>
      <c r="P940" t="s">
        <v>81</v>
      </c>
      <c r="Q940" t="s">
        <v>85</v>
      </c>
      <c r="R940" t="s">
        <v>93</v>
      </c>
      <c r="S940" t="s">
        <v>107</v>
      </c>
      <c r="T940" t="s">
        <v>114</v>
      </c>
    </row>
    <row r="941" spans="1:20">
      <c r="A941" t="s">
        <v>25</v>
      </c>
      <c r="B941" t="s">
        <v>32</v>
      </c>
      <c r="C941" t="s">
        <v>37</v>
      </c>
      <c r="E941" s="2">
        <v>46034.35944444445</v>
      </c>
      <c r="F941" s="2">
        <v>46034.35946759259</v>
      </c>
      <c r="G941" t="s">
        <v>50</v>
      </c>
      <c r="H941" t="s">
        <v>51</v>
      </c>
      <c r="I941">
        <v>8</v>
      </c>
      <c r="J941">
        <v>8</v>
      </c>
      <c r="K941" t="s">
        <v>53</v>
      </c>
      <c r="L941" t="s">
        <v>62</v>
      </c>
      <c r="M941" t="s">
        <v>69</v>
      </c>
      <c r="N941" t="s">
        <v>74</v>
      </c>
      <c r="O941">
        <v>2</v>
      </c>
      <c r="P941" t="s">
        <v>81</v>
      </c>
      <c r="Q941" t="s">
        <v>85</v>
      </c>
      <c r="R941" t="s">
        <v>93</v>
      </c>
      <c r="S941" t="s">
        <v>107</v>
      </c>
      <c r="T941" t="s">
        <v>114</v>
      </c>
    </row>
    <row r="942" spans="1:20">
      <c r="A942" t="s">
        <v>25</v>
      </c>
      <c r="B942" t="s">
        <v>32</v>
      </c>
      <c r="C942" t="s">
        <v>39</v>
      </c>
      <c r="E942" s="2">
        <v>46034.35946759259</v>
      </c>
      <c r="F942" s="2">
        <v>46034.35976851852</v>
      </c>
      <c r="G942" t="s">
        <v>50</v>
      </c>
      <c r="H942" t="s">
        <v>51</v>
      </c>
      <c r="I942">
        <v>8</v>
      </c>
      <c r="J942">
        <v>8</v>
      </c>
      <c r="K942" t="s">
        <v>53</v>
      </c>
      <c r="L942" t="s">
        <v>62</v>
      </c>
      <c r="M942" t="s">
        <v>69</v>
      </c>
      <c r="N942" t="s">
        <v>74</v>
      </c>
      <c r="O942">
        <v>26</v>
      </c>
      <c r="P942" t="s">
        <v>81</v>
      </c>
      <c r="Q942" t="s">
        <v>85</v>
      </c>
      <c r="R942" t="s">
        <v>93</v>
      </c>
      <c r="S942" t="s">
        <v>107</v>
      </c>
      <c r="T942" t="s">
        <v>114</v>
      </c>
    </row>
    <row r="943" spans="1:20">
      <c r="A943" t="s">
        <v>25</v>
      </c>
      <c r="B943" t="s">
        <v>32</v>
      </c>
      <c r="C943" t="s">
        <v>37</v>
      </c>
      <c r="E943" s="2">
        <v>46034.35976851852</v>
      </c>
      <c r="F943" s="2">
        <v>46034.35978009259</v>
      </c>
      <c r="G943" t="s">
        <v>50</v>
      </c>
      <c r="H943" t="s">
        <v>51</v>
      </c>
      <c r="I943">
        <v>8</v>
      </c>
      <c r="J943">
        <v>8</v>
      </c>
      <c r="K943" t="s">
        <v>53</v>
      </c>
      <c r="L943" t="s">
        <v>62</v>
      </c>
      <c r="M943" t="s">
        <v>69</v>
      </c>
      <c r="N943" t="s">
        <v>74</v>
      </c>
      <c r="O943">
        <v>1</v>
      </c>
      <c r="P943" t="s">
        <v>80</v>
      </c>
      <c r="Q943" t="s">
        <v>84</v>
      </c>
      <c r="R943" t="s">
        <v>92</v>
      </c>
      <c r="S943" t="s">
        <v>106</v>
      </c>
      <c r="T943" t="s">
        <v>115</v>
      </c>
    </row>
    <row r="944" spans="1:20">
      <c r="A944" t="s">
        <v>25</v>
      </c>
      <c r="B944" t="s">
        <v>32</v>
      </c>
      <c r="C944" t="s">
        <v>37</v>
      </c>
      <c r="E944" s="2">
        <v>46034.35978009259</v>
      </c>
      <c r="F944" s="2">
        <v>46034.36084490741</v>
      </c>
      <c r="G944" t="s">
        <v>50</v>
      </c>
      <c r="H944" t="s">
        <v>51</v>
      </c>
      <c r="I944">
        <v>8</v>
      </c>
      <c r="J944">
        <v>8</v>
      </c>
      <c r="K944" t="s">
        <v>53</v>
      </c>
      <c r="L944" t="s">
        <v>62</v>
      </c>
      <c r="M944" t="s">
        <v>69</v>
      </c>
      <c r="N944" t="s">
        <v>76</v>
      </c>
      <c r="O944">
        <v>92</v>
      </c>
      <c r="P944" t="s">
        <v>80</v>
      </c>
      <c r="Q944" t="s">
        <v>84</v>
      </c>
      <c r="R944" t="s">
        <v>92</v>
      </c>
      <c r="S944" t="s">
        <v>106</v>
      </c>
      <c r="T944" t="s">
        <v>115</v>
      </c>
    </row>
    <row r="945" spans="1:20">
      <c r="A945" t="s">
        <v>20</v>
      </c>
      <c r="B945" t="s">
        <v>27</v>
      </c>
      <c r="C945" t="s">
        <v>35</v>
      </c>
      <c r="D945" t="s">
        <v>49</v>
      </c>
      <c r="E945" s="2">
        <v>46034.3603125</v>
      </c>
      <c r="F945" s="2">
        <v>46034.36170138889</v>
      </c>
      <c r="G945" t="s">
        <v>50</v>
      </c>
      <c r="H945" t="s">
        <v>51</v>
      </c>
      <c r="I945">
        <v>8</v>
      </c>
      <c r="J945">
        <v>8</v>
      </c>
      <c r="K945" t="s">
        <v>53</v>
      </c>
      <c r="L945" t="s">
        <v>66</v>
      </c>
      <c r="O945">
        <v>120</v>
      </c>
      <c r="P945" t="s">
        <v>49</v>
      </c>
      <c r="Q945" t="s">
        <v>84</v>
      </c>
      <c r="R945" t="s">
        <v>99</v>
      </c>
      <c r="S945" t="s">
        <v>113</v>
      </c>
      <c r="T945" t="s">
        <v>115</v>
      </c>
    </row>
    <row r="946" spans="1:20">
      <c r="A946" t="s">
        <v>25</v>
      </c>
      <c r="B946" t="s">
        <v>32</v>
      </c>
      <c r="C946" t="s">
        <v>37</v>
      </c>
      <c r="E946" s="2">
        <v>46034.36084490741</v>
      </c>
      <c r="F946" s="2">
        <v>46034.36237268519</v>
      </c>
      <c r="G946" t="s">
        <v>50</v>
      </c>
      <c r="H946" t="s">
        <v>51</v>
      </c>
      <c r="I946">
        <v>8</v>
      </c>
      <c r="J946">
        <v>8</v>
      </c>
      <c r="K946" t="s">
        <v>53</v>
      </c>
      <c r="L946" t="s">
        <v>62</v>
      </c>
      <c r="M946" t="s">
        <v>69</v>
      </c>
      <c r="N946" t="s">
        <v>74</v>
      </c>
      <c r="O946">
        <v>132</v>
      </c>
      <c r="P946" t="s">
        <v>80</v>
      </c>
      <c r="Q946" t="s">
        <v>84</v>
      </c>
      <c r="R946" t="s">
        <v>92</v>
      </c>
      <c r="S946" t="s">
        <v>106</v>
      </c>
      <c r="T946" t="s">
        <v>115</v>
      </c>
    </row>
    <row r="947" spans="1:20">
      <c r="A947" t="s">
        <v>23</v>
      </c>
      <c r="B947" t="s">
        <v>30</v>
      </c>
      <c r="C947" t="s">
        <v>35</v>
      </c>
      <c r="D947" t="s">
        <v>41</v>
      </c>
      <c r="E947" s="2">
        <v>46034.36111111111</v>
      </c>
      <c r="F947" s="2">
        <v>46034.36122685186</v>
      </c>
      <c r="G947" t="s">
        <v>50</v>
      </c>
      <c r="H947" t="s">
        <v>51</v>
      </c>
      <c r="I947">
        <v>8</v>
      </c>
      <c r="J947">
        <v>8</v>
      </c>
      <c r="K947" t="s">
        <v>53</v>
      </c>
      <c r="L947" t="s">
        <v>65</v>
      </c>
      <c r="M947" t="s">
        <v>69</v>
      </c>
      <c r="N947" t="s">
        <v>74</v>
      </c>
      <c r="O947">
        <v>10</v>
      </c>
      <c r="P947" t="s">
        <v>41</v>
      </c>
      <c r="Q947" t="s">
        <v>84</v>
      </c>
      <c r="R947" t="s">
        <v>88</v>
      </c>
      <c r="S947" t="s">
        <v>102</v>
      </c>
      <c r="T947" t="s">
        <v>116</v>
      </c>
    </row>
    <row r="948" spans="1:20">
      <c r="A948" t="s">
        <v>23</v>
      </c>
      <c r="B948" t="s">
        <v>30</v>
      </c>
      <c r="C948" t="s">
        <v>34</v>
      </c>
      <c r="E948" s="2">
        <v>46034.36122685186</v>
      </c>
      <c r="F948" s="2">
        <v>46034.36127314815</v>
      </c>
      <c r="G948" t="s">
        <v>50</v>
      </c>
      <c r="H948" t="s">
        <v>51</v>
      </c>
      <c r="I948">
        <v>8</v>
      </c>
      <c r="J948">
        <v>8</v>
      </c>
      <c r="K948" t="s">
        <v>53</v>
      </c>
      <c r="L948" t="s">
        <v>65</v>
      </c>
      <c r="M948" t="s">
        <v>69</v>
      </c>
      <c r="N948" t="s">
        <v>74</v>
      </c>
      <c r="O948">
        <v>4</v>
      </c>
      <c r="P948" t="s">
        <v>78</v>
      </c>
      <c r="Q948" t="s">
        <v>82</v>
      </c>
      <c r="R948" t="s">
        <v>86</v>
      </c>
      <c r="S948" t="s">
        <v>100</v>
      </c>
      <c r="T948" t="s">
        <v>114</v>
      </c>
    </row>
    <row r="949" spans="1:20">
      <c r="A949" t="s">
        <v>23</v>
      </c>
      <c r="B949" t="s">
        <v>30</v>
      </c>
      <c r="C949" t="s">
        <v>34</v>
      </c>
      <c r="E949" s="2">
        <v>46034.36127314815</v>
      </c>
      <c r="F949" s="2">
        <v>46034.375</v>
      </c>
      <c r="G949" t="s">
        <v>50</v>
      </c>
      <c r="H949" t="s">
        <v>51</v>
      </c>
      <c r="I949">
        <v>8</v>
      </c>
      <c r="J949">
        <v>8</v>
      </c>
      <c r="K949" t="s">
        <v>53</v>
      </c>
      <c r="L949" t="s">
        <v>65</v>
      </c>
      <c r="M949" t="s">
        <v>72</v>
      </c>
      <c r="N949" t="s">
        <v>74</v>
      </c>
      <c r="O949">
        <v>1186</v>
      </c>
      <c r="P949" t="s">
        <v>78</v>
      </c>
      <c r="Q949" t="s">
        <v>82</v>
      </c>
      <c r="R949" t="s">
        <v>86</v>
      </c>
      <c r="S949" t="s">
        <v>100</v>
      </c>
      <c r="T949" t="s">
        <v>114</v>
      </c>
    </row>
    <row r="950" spans="1:20">
      <c r="A950" t="s">
        <v>20</v>
      </c>
      <c r="B950" t="s">
        <v>27</v>
      </c>
      <c r="C950" t="s">
        <v>35</v>
      </c>
      <c r="D950" t="s">
        <v>49</v>
      </c>
      <c r="E950" s="2">
        <v>46034.36170138889</v>
      </c>
      <c r="F950" s="2">
        <v>46034.375</v>
      </c>
      <c r="G950" t="s">
        <v>50</v>
      </c>
      <c r="H950" t="s">
        <v>51</v>
      </c>
      <c r="I950">
        <v>8</v>
      </c>
      <c r="J950">
        <v>8</v>
      </c>
      <c r="K950" t="s">
        <v>53</v>
      </c>
      <c r="L950" t="s">
        <v>66</v>
      </c>
      <c r="O950">
        <v>1149</v>
      </c>
      <c r="P950" t="s">
        <v>49</v>
      </c>
      <c r="Q950" t="s">
        <v>84</v>
      </c>
      <c r="R950" t="s">
        <v>99</v>
      </c>
      <c r="S950" t="s">
        <v>113</v>
      </c>
      <c r="T950" t="s">
        <v>115</v>
      </c>
    </row>
    <row r="951" spans="1:20">
      <c r="A951" t="s">
        <v>21</v>
      </c>
      <c r="B951" t="s">
        <v>28</v>
      </c>
      <c r="C951" t="s">
        <v>38</v>
      </c>
      <c r="E951" s="2">
        <v>46034.36217592593</v>
      </c>
      <c r="F951" s="2">
        <v>46034.3639699074</v>
      </c>
      <c r="G951" t="s">
        <v>50</v>
      </c>
      <c r="H951" t="s">
        <v>51</v>
      </c>
      <c r="I951">
        <v>8</v>
      </c>
      <c r="J951">
        <v>8</v>
      </c>
      <c r="K951" t="s">
        <v>54</v>
      </c>
      <c r="L951" t="s">
        <v>68</v>
      </c>
      <c r="M951" t="s">
        <v>69</v>
      </c>
      <c r="N951" t="s">
        <v>74</v>
      </c>
      <c r="O951">
        <v>155</v>
      </c>
      <c r="P951" t="s">
        <v>79</v>
      </c>
      <c r="Q951" t="s">
        <v>85</v>
      </c>
      <c r="R951" t="s">
        <v>91</v>
      </c>
      <c r="S951" t="s">
        <v>105</v>
      </c>
      <c r="T951" t="s">
        <v>114</v>
      </c>
    </row>
    <row r="952" spans="1:20">
      <c r="A952" t="s">
        <v>25</v>
      </c>
      <c r="B952" t="s">
        <v>32</v>
      </c>
      <c r="C952" t="s">
        <v>38</v>
      </c>
      <c r="E952" s="2">
        <v>46034.36237268519</v>
      </c>
      <c r="F952" s="2">
        <v>46034.36732638889</v>
      </c>
      <c r="G952" t="s">
        <v>50</v>
      </c>
      <c r="H952" t="s">
        <v>51</v>
      </c>
      <c r="I952">
        <v>8</v>
      </c>
      <c r="J952">
        <v>8</v>
      </c>
      <c r="K952" t="s">
        <v>53</v>
      </c>
      <c r="L952" t="s">
        <v>62</v>
      </c>
      <c r="M952" t="s">
        <v>69</v>
      </c>
      <c r="N952" t="s">
        <v>74</v>
      </c>
      <c r="O952">
        <v>428</v>
      </c>
      <c r="P952" t="s">
        <v>79</v>
      </c>
      <c r="Q952" t="s">
        <v>85</v>
      </c>
      <c r="R952" t="s">
        <v>91</v>
      </c>
      <c r="S952" t="s">
        <v>105</v>
      </c>
      <c r="T952" t="s">
        <v>114</v>
      </c>
    </row>
    <row r="953" spans="1:20">
      <c r="A953" t="s">
        <v>24</v>
      </c>
      <c r="B953" t="s">
        <v>31</v>
      </c>
      <c r="C953" t="s">
        <v>36</v>
      </c>
      <c r="E953" s="2">
        <v>46034.36271990741</v>
      </c>
      <c r="F953" s="2">
        <v>46034.36738425926</v>
      </c>
      <c r="G953" t="s">
        <v>50</v>
      </c>
      <c r="H953" t="s">
        <v>51</v>
      </c>
      <c r="I953">
        <v>8</v>
      </c>
      <c r="J953">
        <v>8</v>
      </c>
      <c r="K953" t="s">
        <v>56</v>
      </c>
      <c r="L953" t="s">
        <v>67</v>
      </c>
      <c r="N953" t="s">
        <v>74</v>
      </c>
      <c r="O953">
        <v>403</v>
      </c>
      <c r="P953" t="s">
        <v>79</v>
      </c>
      <c r="Q953" t="s">
        <v>85</v>
      </c>
      <c r="R953" t="s">
        <v>91</v>
      </c>
      <c r="S953" t="s">
        <v>105</v>
      </c>
      <c r="T953" t="s">
        <v>114</v>
      </c>
    </row>
    <row r="954" spans="1:20">
      <c r="A954" t="s">
        <v>21</v>
      </c>
      <c r="B954" t="s">
        <v>28</v>
      </c>
      <c r="C954" t="s">
        <v>37</v>
      </c>
      <c r="E954" s="2">
        <v>46034.3639699074</v>
      </c>
      <c r="F954" s="2">
        <v>46034.36399305556</v>
      </c>
      <c r="G954" t="s">
        <v>50</v>
      </c>
      <c r="H954" t="s">
        <v>51</v>
      </c>
      <c r="I954">
        <v>8</v>
      </c>
      <c r="J954">
        <v>8</v>
      </c>
      <c r="K954" t="s">
        <v>54</v>
      </c>
      <c r="L954" t="s">
        <v>68</v>
      </c>
      <c r="M954" t="s">
        <v>69</v>
      </c>
      <c r="N954" t="s">
        <v>74</v>
      </c>
      <c r="O954">
        <v>2</v>
      </c>
      <c r="P954" t="s">
        <v>81</v>
      </c>
      <c r="Q954" t="s">
        <v>85</v>
      </c>
      <c r="R954" t="s">
        <v>93</v>
      </c>
      <c r="S954" t="s">
        <v>107</v>
      </c>
      <c r="T954" t="s">
        <v>114</v>
      </c>
    </row>
    <row r="955" spans="1:20">
      <c r="A955" t="s">
        <v>21</v>
      </c>
      <c r="B955" t="s">
        <v>28</v>
      </c>
      <c r="C955" t="s">
        <v>37</v>
      </c>
      <c r="E955" s="2">
        <v>46034.36399305556</v>
      </c>
      <c r="F955" s="2">
        <v>46034.36424768518</v>
      </c>
      <c r="G955" t="s">
        <v>50</v>
      </c>
      <c r="H955" t="s">
        <v>51</v>
      </c>
      <c r="I955">
        <v>8</v>
      </c>
      <c r="J955">
        <v>8</v>
      </c>
      <c r="K955" t="s">
        <v>54</v>
      </c>
      <c r="L955" t="s">
        <v>68</v>
      </c>
      <c r="M955" t="s">
        <v>69</v>
      </c>
      <c r="N955" t="s">
        <v>75</v>
      </c>
      <c r="O955">
        <v>22</v>
      </c>
      <c r="P955" t="s">
        <v>81</v>
      </c>
      <c r="Q955" t="s">
        <v>85</v>
      </c>
      <c r="R955" t="s">
        <v>93</v>
      </c>
      <c r="S955" t="s">
        <v>107</v>
      </c>
      <c r="T955" t="s">
        <v>114</v>
      </c>
    </row>
    <row r="956" spans="1:20">
      <c r="A956" t="s">
        <v>26</v>
      </c>
      <c r="B956" t="s">
        <v>33</v>
      </c>
      <c r="C956" t="s">
        <v>35</v>
      </c>
      <c r="D956" t="s">
        <v>41</v>
      </c>
      <c r="E956" s="2">
        <v>46034.3641087963</v>
      </c>
      <c r="F956" s="2">
        <v>46034.36418981481</v>
      </c>
      <c r="G956" t="s">
        <v>50</v>
      </c>
      <c r="H956" t="s">
        <v>51</v>
      </c>
      <c r="I956">
        <v>8</v>
      </c>
      <c r="J956">
        <v>8</v>
      </c>
      <c r="L956" t="s">
        <v>63</v>
      </c>
      <c r="M956" t="s">
        <v>71</v>
      </c>
      <c r="N956" t="s">
        <v>74</v>
      </c>
      <c r="O956">
        <v>7</v>
      </c>
      <c r="P956" t="s">
        <v>41</v>
      </c>
      <c r="Q956" t="s">
        <v>84</v>
      </c>
      <c r="R956" t="s">
        <v>88</v>
      </c>
      <c r="S956" t="s">
        <v>102</v>
      </c>
      <c r="T956" t="s">
        <v>116</v>
      </c>
    </row>
    <row r="957" spans="1:20">
      <c r="A957" t="s">
        <v>26</v>
      </c>
      <c r="B957" t="s">
        <v>33</v>
      </c>
      <c r="C957" t="s">
        <v>35</v>
      </c>
      <c r="D957" t="s">
        <v>41</v>
      </c>
      <c r="E957" s="2">
        <v>46034.36418981481</v>
      </c>
      <c r="F957" s="2">
        <v>46034.36425925926</v>
      </c>
      <c r="G957" t="s">
        <v>50</v>
      </c>
      <c r="H957" t="s">
        <v>51</v>
      </c>
      <c r="I957">
        <v>8</v>
      </c>
      <c r="J957">
        <v>8</v>
      </c>
      <c r="L957" t="s">
        <v>63</v>
      </c>
      <c r="M957" t="s">
        <v>72</v>
      </c>
      <c r="N957" t="s">
        <v>74</v>
      </c>
      <c r="O957">
        <v>6</v>
      </c>
      <c r="P957" t="s">
        <v>41</v>
      </c>
      <c r="Q957" t="s">
        <v>84</v>
      </c>
      <c r="R957" t="s">
        <v>88</v>
      </c>
      <c r="S957" t="s">
        <v>102</v>
      </c>
      <c r="T957" t="s">
        <v>116</v>
      </c>
    </row>
    <row r="958" spans="1:20">
      <c r="A958" t="s">
        <v>21</v>
      </c>
      <c r="B958" t="s">
        <v>28</v>
      </c>
      <c r="C958" t="s">
        <v>37</v>
      </c>
      <c r="E958" s="2">
        <v>46034.36424768518</v>
      </c>
      <c r="F958" s="2">
        <v>46034.3642824074</v>
      </c>
      <c r="G958" t="s">
        <v>50</v>
      </c>
      <c r="H958" t="s">
        <v>51</v>
      </c>
      <c r="I958">
        <v>8</v>
      </c>
      <c r="J958">
        <v>8</v>
      </c>
      <c r="K958" t="s">
        <v>54</v>
      </c>
      <c r="L958" t="s">
        <v>68</v>
      </c>
      <c r="M958" t="s">
        <v>69</v>
      </c>
      <c r="N958" t="s">
        <v>74</v>
      </c>
      <c r="O958">
        <v>3</v>
      </c>
      <c r="P958" t="s">
        <v>81</v>
      </c>
      <c r="Q958" t="s">
        <v>85</v>
      </c>
      <c r="R958" t="s">
        <v>93</v>
      </c>
      <c r="S958" t="s">
        <v>107</v>
      </c>
      <c r="T958" t="s">
        <v>114</v>
      </c>
    </row>
    <row r="959" spans="1:20">
      <c r="A959" t="s">
        <v>26</v>
      </c>
      <c r="B959" t="s">
        <v>33</v>
      </c>
      <c r="C959" t="s">
        <v>35</v>
      </c>
      <c r="D959" t="s">
        <v>41</v>
      </c>
      <c r="E959" s="2">
        <v>46034.36425925926</v>
      </c>
      <c r="F959" s="2">
        <v>46034.375</v>
      </c>
      <c r="G959" t="s">
        <v>50</v>
      </c>
      <c r="H959" t="s">
        <v>51</v>
      </c>
      <c r="I959">
        <v>8</v>
      </c>
      <c r="J959">
        <v>8</v>
      </c>
      <c r="L959" t="s">
        <v>63</v>
      </c>
      <c r="M959" t="s">
        <v>70</v>
      </c>
      <c r="N959" t="s">
        <v>74</v>
      </c>
      <c r="O959">
        <v>928</v>
      </c>
      <c r="P959" t="s">
        <v>41</v>
      </c>
      <c r="Q959" t="s">
        <v>84</v>
      </c>
      <c r="R959" t="s">
        <v>88</v>
      </c>
      <c r="S959" t="s">
        <v>102</v>
      </c>
      <c r="T959" t="s">
        <v>116</v>
      </c>
    </row>
    <row r="960" spans="1:20">
      <c r="A960" t="s">
        <v>21</v>
      </c>
      <c r="B960" t="s">
        <v>28</v>
      </c>
      <c r="C960" t="s">
        <v>39</v>
      </c>
      <c r="E960" s="2">
        <v>46034.3642824074</v>
      </c>
      <c r="F960" s="2">
        <v>46034.36465277777</v>
      </c>
      <c r="G960" t="s">
        <v>50</v>
      </c>
      <c r="H960" t="s">
        <v>51</v>
      </c>
      <c r="I960">
        <v>8</v>
      </c>
      <c r="J960">
        <v>8</v>
      </c>
      <c r="K960" t="s">
        <v>54</v>
      </c>
      <c r="L960" t="s">
        <v>68</v>
      </c>
      <c r="M960" t="s">
        <v>69</v>
      </c>
      <c r="N960" t="s">
        <v>74</v>
      </c>
      <c r="O960">
        <v>32</v>
      </c>
      <c r="P960" t="s">
        <v>81</v>
      </c>
      <c r="Q960" t="s">
        <v>85</v>
      </c>
      <c r="R960" t="s">
        <v>93</v>
      </c>
      <c r="S960" t="s">
        <v>107</v>
      </c>
      <c r="T960" t="s">
        <v>114</v>
      </c>
    </row>
    <row r="961" spans="1:20">
      <c r="A961" t="s">
        <v>21</v>
      </c>
      <c r="B961" t="s">
        <v>28</v>
      </c>
      <c r="C961" t="s">
        <v>37</v>
      </c>
      <c r="E961" s="2">
        <v>46034.36465277777</v>
      </c>
      <c r="F961" s="2">
        <v>46034.36480324074</v>
      </c>
      <c r="G961" t="s">
        <v>50</v>
      </c>
      <c r="H961" t="s">
        <v>51</v>
      </c>
      <c r="I961">
        <v>8</v>
      </c>
      <c r="J961">
        <v>8</v>
      </c>
      <c r="K961" t="s">
        <v>54</v>
      </c>
      <c r="L961" t="s">
        <v>68</v>
      </c>
      <c r="M961" t="s">
        <v>69</v>
      </c>
      <c r="N961" t="s">
        <v>74</v>
      </c>
      <c r="O961">
        <v>13</v>
      </c>
      <c r="P961" t="s">
        <v>80</v>
      </c>
      <c r="Q961" t="s">
        <v>84</v>
      </c>
      <c r="R961" t="s">
        <v>92</v>
      </c>
      <c r="S961" t="s">
        <v>106</v>
      </c>
      <c r="T961" t="s">
        <v>115</v>
      </c>
    </row>
    <row r="962" spans="1:20">
      <c r="A962" t="s">
        <v>21</v>
      </c>
      <c r="B962" t="s">
        <v>28</v>
      </c>
      <c r="C962" t="s">
        <v>37</v>
      </c>
      <c r="E962" s="2">
        <v>46034.36480324074</v>
      </c>
      <c r="F962" s="2">
        <v>46034.36534722222</v>
      </c>
      <c r="G962" t="s">
        <v>50</v>
      </c>
      <c r="H962" t="s">
        <v>51</v>
      </c>
      <c r="I962">
        <v>8</v>
      </c>
      <c r="J962">
        <v>8</v>
      </c>
      <c r="K962" t="s">
        <v>54</v>
      </c>
      <c r="L962" t="s">
        <v>68</v>
      </c>
      <c r="M962" t="s">
        <v>69</v>
      </c>
      <c r="N962" t="s">
        <v>76</v>
      </c>
      <c r="O962">
        <v>47</v>
      </c>
      <c r="P962" t="s">
        <v>80</v>
      </c>
      <c r="Q962" t="s">
        <v>84</v>
      </c>
      <c r="R962" t="s">
        <v>92</v>
      </c>
      <c r="S962" t="s">
        <v>106</v>
      </c>
      <c r="T962" t="s">
        <v>115</v>
      </c>
    </row>
    <row r="963" spans="1:20">
      <c r="A963" t="s">
        <v>21</v>
      </c>
      <c r="B963" t="s">
        <v>28</v>
      </c>
      <c r="C963" t="s">
        <v>37</v>
      </c>
      <c r="E963" s="2">
        <v>46034.36534722222</v>
      </c>
      <c r="F963" s="2">
        <v>46034.36834490741</v>
      </c>
      <c r="G963" t="s">
        <v>50</v>
      </c>
      <c r="H963" t="s">
        <v>51</v>
      </c>
      <c r="I963">
        <v>8</v>
      </c>
      <c r="J963">
        <v>8</v>
      </c>
      <c r="K963" t="s">
        <v>54</v>
      </c>
      <c r="L963" t="s">
        <v>68</v>
      </c>
      <c r="M963" t="s">
        <v>69</v>
      </c>
      <c r="N963" t="s">
        <v>74</v>
      </c>
      <c r="O963">
        <v>259</v>
      </c>
      <c r="P963" t="s">
        <v>80</v>
      </c>
      <c r="Q963" t="s">
        <v>84</v>
      </c>
      <c r="R963" t="s">
        <v>92</v>
      </c>
      <c r="S963" t="s">
        <v>106</v>
      </c>
      <c r="T963" t="s">
        <v>115</v>
      </c>
    </row>
    <row r="964" spans="1:20">
      <c r="A964" t="s">
        <v>25</v>
      </c>
      <c r="B964" t="s">
        <v>32</v>
      </c>
      <c r="C964" t="s">
        <v>35</v>
      </c>
      <c r="D964" t="s">
        <v>41</v>
      </c>
      <c r="E964" s="2">
        <v>46034.36732638889</v>
      </c>
      <c r="F964" s="2">
        <v>46034.36780092592</v>
      </c>
      <c r="G964" t="s">
        <v>50</v>
      </c>
      <c r="H964" t="s">
        <v>51</v>
      </c>
      <c r="I964">
        <v>8</v>
      </c>
      <c r="J964">
        <v>8</v>
      </c>
      <c r="K964" t="s">
        <v>53</v>
      </c>
      <c r="L964" t="s">
        <v>62</v>
      </c>
      <c r="M964" t="s">
        <v>69</v>
      </c>
      <c r="N964" t="s">
        <v>74</v>
      </c>
      <c r="O964">
        <v>41</v>
      </c>
      <c r="P964" t="s">
        <v>41</v>
      </c>
      <c r="Q964" t="s">
        <v>84</v>
      </c>
      <c r="R964" t="s">
        <v>88</v>
      </c>
      <c r="S964" t="s">
        <v>102</v>
      </c>
      <c r="T964" t="s">
        <v>116</v>
      </c>
    </row>
    <row r="965" spans="1:20">
      <c r="A965" t="s">
        <v>24</v>
      </c>
      <c r="B965" t="s">
        <v>31</v>
      </c>
      <c r="C965" t="s">
        <v>34</v>
      </c>
      <c r="E965" s="2">
        <v>46034.36738425926</v>
      </c>
      <c r="F965" s="2">
        <v>46034.36805555555</v>
      </c>
      <c r="G965" t="s">
        <v>50</v>
      </c>
      <c r="H965" t="s">
        <v>51</v>
      </c>
      <c r="I965">
        <v>8</v>
      </c>
      <c r="J965">
        <v>8</v>
      </c>
      <c r="K965" t="s">
        <v>56</v>
      </c>
      <c r="L965" t="s">
        <v>67</v>
      </c>
      <c r="N965" t="s">
        <v>74</v>
      </c>
      <c r="O965">
        <v>58</v>
      </c>
      <c r="P965" t="s">
        <v>78</v>
      </c>
      <c r="Q965" t="s">
        <v>82</v>
      </c>
      <c r="R965" t="s">
        <v>86</v>
      </c>
      <c r="S965" t="s">
        <v>100</v>
      </c>
      <c r="T965" t="s">
        <v>114</v>
      </c>
    </row>
    <row r="966" spans="1:20">
      <c r="A966" t="s">
        <v>22</v>
      </c>
      <c r="B966" t="s">
        <v>29</v>
      </c>
      <c r="C966" t="s">
        <v>35</v>
      </c>
      <c r="D966" t="s">
        <v>41</v>
      </c>
      <c r="E966" s="2">
        <v>46034.36777777778</v>
      </c>
      <c r="F966" s="2">
        <v>46034.36789351852</v>
      </c>
      <c r="G966" t="s">
        <v>50</v>
      </c>
      <c r="H966" t="s">
        <v>51</v>
      </c>
      <c r="I966">
        <v>8</v>
      </c>
      <c r="J966">
        <v>8</v>
      </c>
      <c r="K966" t="s">
        <v>54</v>
      </c>
      <c r="L966" t="s">
        <v>64</v>
      </c>
      <c r="M966" t="s">
        <v>69</v>
      </c>
      <c r="N966" t="s">
        <v>74</v>
      </c>
      <c r="O966">
        <v>10</v>
      </c>
      <c r="P966" t="s">
        <v>41</v>
      </c>
      <c r="Q966" t="s">
        <v>84</v>
      </c>
      <c r="R966" t="s">
        <v>88</v>
      </c>
      <c r="S966" t="s">
        <v>102</v>
      </c>
      <c r="T966" t="s">
        <v>116</v>
      </c>
    </row>
    <row r="967" spans="1:20">
      <c r="A967" t="s">
        <v>25</v>
      </c>
      <c r="B967" t="s">
        <v>32</v>
      </c>
      <c r="C967" t="s">
        <v>35</v>
      </c>
      <c r="D967" t="s">
        <v>41</v>
      </c>
      <c r="E967" s="2">
        <v>46034.36780092592</v>
      </c>
      <c r="F967" s="2">
        <v>46034.36788194445</v>
      </c>
      <c r="G967" t="s">
        <v>50</v>
      </c>
      <c r="H967" t="s">
        <v>51</v>
      </c>
      <c r="I967">
        <v>8</v>
      </c>
      <c r="J967">
        <v>8</v>
      </c>
      <c r="K967" t="s">
        <v>53</v>
      </c>
      <c r="L967" t="s">
        <v>62</v>
      </c>
      <c r="M967" t="s">
        <v>70</v>
      </c>
      <c r="N967" t="s">
        <v>74</v>
      </c>
      <c r="O967">
        <v>7</v>
      </c>
      <c r="P967" t="s">
        <v>41</v>
      </c>
      <c r="Q967" t="s">
        <v>84</v>
      </c>
      <c r="R967" t="s">
        <v>88</v>
      </c>
      <c r="S967" t="s">
        <v>102</v>
      </c>
      <c r="T967" t="s">
        <v>116</v>
      </c>
    </row>
    <row r="968" spans="1:20">
      <c r="A968" t="s">
        <v>25</v>
      </c>
      <c r="B968" t="s">
        <v>32</v>
      </c>
      <c r="C968" t="s">
        <v>35</v>
      </c>
      <c r="D968" t="s">
        <v>41</v>
      </c>
      <c r="E968" s="2">
        <v>46034.36788194445</v>
      </c>
      <c r="F968" s="2">
        <v>46034.36795138889</v>
      </c>
      <c r="G968" t="s">
        <v>50</v>
      </c>
      <c r="H968" t="s">
        <v>51</v>
      </c>
      <c r="I968">
        <v>8</v>
      </c>
      <c r="J968">
        <v>8</v>
      </c>
      <c r="K968" t="s">
        <v>53</v>
      </c>
      <c r="L968" t="s">
        <v>62</v>
      </c>
      <c r="M968" t="s">
        <v>72</v>
      </c>
      <c r="N968" t="s">
        <v>74</v>
      </c>
      <c r="O968">
        <v>6</v>
      </c>
      <c r="P968" t="s">
        <v>41</v>
      </c>
      <c r="Q968" t="s">
        <v>84</v>
      </c>
      <c r="R968" t="s">
        <v>88</v>
      </c>
      <c r="S968" t="s">
        <v>102</v>
      </c>
      <c r="T968" t="s">
        <v>116</v>
      </c>
    </row>
    <row r="969" spans="1:20">
      <c r="A969" t="s">
        <v>22</v>
      </c>
      <c r="B969" t="s">
        <v>29</v>
      </c>
      <c r="C969" t="s">
        <v>35</v>
      </c>
      <c r="D969" t="s">
        <v>41</v>
      </c>
      <c r="E969" s="2">
        <v>46034.36789351852</v>
      </c>
      <c r="F969" s="2">
        <v>46034.36796296296</v>
      </c>
      <c r="G969" t="s">
        <v>50</v>
      </c>
      <c r="H969" t="s">
        <v>51</v>
      </c>
      <c r="I969">
        <v>8</v>
      </c>
      <c r="J969">
        <v>8</v>
      </c>
      <c r="K969" t="s">
        <v>54</v>
      </c>
      <c r="L969" t="s">
        <v>64</v>
      </c>
      <c r="M969" t="s">
        <v>72</v>
      </c>
      <c r="N969" t="s">
        <v>74</v>
      </c>
      <c r="O969">
        <v>6</v>
      </c>
      <c r="P969" t="s">
        <v>41</v>
      </c>
      <c r="Q969" t="s">
        <v>84</v>
      </c>
      <c r="R969" t="s">
        <v>88</v>
      </c>
      <c r="S969" t="s">
        <v>102</v>
      </c>
      <c r="T969" t="s">
        <v>116</v>
      </c>
    </row>
    <row r="970" spans="1:20">
      <c r="A970" t="s">
        <v>25</v>
      </c>
      <c r="B970" t="s">
        <v>32</v>
      </c>
      <c r="C970" t="s">
        <v>35</v>
      </c>
      <c r="D970" t="s">
        <v>41</v>
      </c>
      <c r="E970" s="2">
        <v>46034.36795138889</v>
      </c>
      <c r="F970" s="2">
        <v>46034.37185185185</v>
      </c>
      <c r="G970" t="s">
        <v>50</v>
      </c>
      <c r="H970" t="s">
        <v>51</v>
      </c>
      <c r="I970">
        <v>8</v>
      </c>
      <c r="J970">
        <v>8</v>
      </c>
      <c r="K970" t="s">
        <v>53</v>
      </c>
      <c r="L970" t="s">
        <v>62</v>
      </c>
      <c r="M970" t="s">
        <v>70</v>
      </c>
      <c r="N970" t="s">
        <v>74</v>
      </c>
      <c r="O970">
        <v>337</v>
      </c>
      <c r="P970" t="s">
        <v>41</v>
      </c>
      <c r="Q970" t="s">
        <v>84</v>
      </c>
      <c r="R970" t="s">
        <v>88</v>
      </c>
      <c r="S970" t="s">
        <v>102</v>
      </c>
      <c r="T970" t="s">
        <v>116</v>
      </c>
    </row>
    <row r="971" spans="1:20">
      <c r="A971" t="s">
        <v>22</v>
      </c>
      <c r="B971" t="s">
        <v>29</v>
      </c>
      <c r="C971" t="s">
        <v>35</v>
      </c>
      <c r="D971" t="s">
        <v>41</v>
      </c>
      <c r="E971" s="2">
        <v>46034.36796296296</v>
      </c>
      <c r="F971" s="2">
        <v>46034.375</v>
      </c>
      <c r="G971" t="s">
        <v>50</v>
      </c>
      <c r="H971" t="s">
        <v>51</v>
      </c>
      <c r="I971">
        <v>8</v>
      </c>
      <c r="J971">
        <v>8</v>
      </c>
      <c r="K971" t="s">
        <v>54</v>
      </c>
      <c r="L971" t="s">
        <v>64</v>
      </c>
      <c r="M971" t="s">
        <v>69</v>
      </c>
      <c r="N971" t="s">
        <v>74</v>
      </c>
      <c r="O971">
        <v>608</v>
      </c>
      <c r="P971" t="s">
        <v>41</v>
      </c>
      <c r="Q971" t="s">
        <v>84</v>
      </c>
      <c r="R971" t="s">
        <v>88</v>
      </c>
      <c r="S971" t="s">
        <v>102</v>
      </c>
      <c r="T971" t="s">
        <v>116</v>
      </c>
    </row>
    <row r="972" spans="1:20">
      <c r="A972" t="s">
        <v>24</v>
      </c>
      <c r="B972" t="s">
        <v>31</v>
      </c>
      <c r="C972" t="s">
        <v>35</v>
      </c>
      <c r="D972" t="s">
        <v>41</v>
      </c>
      <c r="E972" s="2">
        <v>46034.36805555555</v>
      </c>
      <c r="F972" s="2">
        <v>46034.375</v>
      </c>
      <c r="G972" t="s">
        <v>50</v>
      </c>
      <c r="H972" t="s">
        <v>51</v>
      </c>
      <c r="I972">
        <v>8</v>
      </c>
      <c r="J972">
        <v>8</v>
      </c>
      <c r="K972" t="s">
        <v>56</v>
      </c>
      <c r="L972" t="s">
        <v>67</v>
      </c>
      <c r="N972" t="s">
        <v>74</v>
      </c>
      <c r="O972">
        <v>600</v>
      </c>
      <c r="P972" t="s">
        <v>41</v>
      </c>
      <c r="Q972" t="s">
        <v>84</v>
      </c>
      <c r="R972" t="s">
        <v>88</v>
      </c>
      <c r="S972" t="s">
        <v>102</v>
      </c>
      <c r="T972" t="s">
        <v>116</v>
      </c>
    </row>
    <row r="973" spans="1:20">
      <c r="A973" t="s">
        <v>21</v>
      </c>
      <c r="B973" t="s">
        <v>28</v>
      </c>
      <c r="C973" t="s">
        <v>34</v>
      </c>
      <c r="E973" s="2">
        <v>46034.36834490741</v>
      </c>
      <c r="F973" s="2">
        <v>46034.36956018519</v>
      </c>
      <c r="G973" t="s">
        <v>50</v>
      </c>
      <c r="H973" t="s">
        <v>51</v>
      </c>
      <c r="I973">
        <v>8</v>
      </c>
      <c r="J973">
        <v>8</v>
      </c>
      <c r="K973" t="s">
        <v>54</v>
      </c>
      <c r="L973" t="s">
        <v>68</v>
      </c>
      <c r="M973" t="s">
        <v>69</v>
      </c>
      <c r="N973" t="s">
        <v>74</v>
      </c>
      <c r="O973">
        <v>105</v>
      </c>
      <c r="P973" t="s">
        <v>78</v>
      </c>
      <c r="Q973" t="s">
        <v>82</v>
      </c>
      <c r="R973" t="s">
        <v>86</v>
      </c>
      <c r="S973" t="s">
        <v>100</v>
      </c>
      <c r="T973" t="s">
        <v>114</v>
      </c>
    </row>
    <row r="974" spans="1:20">
      <c r="A974" t="s">
        <v>21</v>
      </c>
      <c r="B974" t="s">
        <v>28</v>
      </c>
      <c r="C974" t="s">
        <v>35</v>
      </c>
      <c r="D974" t="s">
        <v>41</v>
      </c>
      <c r="E974" s="2">
        <v>46034.36956018519</v>
      </c>
      <c r="F974" s="2">
        <v>46034.36980324074</v>
      </c>
      <c r="G974" t="s">
        <v>50</v>
      </c>
      <c r="H974" t="s">
        <v>51</v>
      </c>
      <c r="I974">
        <v>8</v>
      </c>
      <c r="J974">
        <v>8</v>
      </c>
      <c r="K974" t="s">
        <v>54</v>
      </c>
      <c r="L974" t="s">
        <v>68</v>
      </c>
      <c r="M974" t="s">
        <v>69</v>
      </c>
      <c r="N974" t="s">
        <v>74</v>
      </c>
      <c r="O974">
        <v>21</v>
      </c>
      <c r="P974" t="s">
        <v>41</v>
      </c>
      <c r="Q974" t="s">
        <v>84</v>
      </c>
      <c r="R974" t="s">
        <v>88</v>
      </c>
      <c r="S974" t="s">
        <v>102</v>
      </c>
      <c r="T974" t="s">
        <v>116</v>
      </c>
    </row>
    <row r="975" spans="1:20">
      <c r="A975" t="s">
        <v>21</v>
      </c>
      <c r="B975" t="s">
        <v>28</v>
      </c>
      <c r="C975" t="s">
        <v>35</v>
      </c>
      <c r="D975" t="s">
        <v>41</v>
      </c>
      <c r="E975" s="2">
        <v>46034.36980324074</v>
      </c>
      <c r="F975" s="2">
        <v>46034.375</v>
      </c>
      <c r="G975" t="s">
        <v>50</v>
      </c>
      <c r="H975" t="s">
        <v>51</v>
      </c>
      <c r="I975">
        <v>8</v>
      </c>
      <c r="J975">
        <v>8</v>
      </c>
      <c r="K975" t="s">
        <v>54</v>
      </c>
      <c r="L975" t="s">
        <v>68</v>
      </c>
      <c r="M975" t="s">
        <v>70</v>
      </c>
      <c r="N975" t="s">
        <v>74</v>
      </c>
      <c r="O975">
        <v>449</v>
      </c>
      <c r="P975" t="s">
        <v>41</v>
      </c>
      <c r="Q975" t="s">
        <v>84</v>
      </c>
      <c r="R975" t="s">
        <v>88</v>
      </c>
      <c r="S975" t="s">
        <v>102</v>
      </c>
      <c r="T975" t="s">
        <v>116</v>
      </c>
    </row>
    <row r="976" spans="1:20">
      <c r="A976" t="s">
        <v>25</v>
      </c>
      <c r="B976" t="s">
        <v>32</v>
      </c>
      <c r="C976" t="s">
        <v>35</v>
      </c>
      <c r="D976" t="s">
        <v>41</v>
      </c>
      <c r="E976" s="2">
        <v>46034.37185185185</v>
      </c>
      <c r="F976" s="2">
        <v>46034.37366898148</v>
      </c>
      <c r="G976" t="s">
        <v>50</v>
      </c>
      <c r="H976" t="s">
        <v>51</v>
      </c>
      <c r="I976">
        <v>8</v>
      </c>
      <c r="J976">
        <v>8</v>
      </c>
      <c r="K976" t="s">
        <v>53</v>
      </c>
      <c r="L976" t="s">
        <v>62</v>
      </c>
      <c r="M976" t="s">
        <v>71</v>
      </c>
      <c r="N976" t="s">
        <v>74</v>
      </c>
      <c r="O976">
        <v>157</v>
      </c>
      <c r="P976" t="s">
        <v>41</v>
      </c>
      <c r="Q976" t="s">
        <v>84</v>
      </c>
      <c r="R976" t="s">
        <v>88</v>
      </c>
      <c r="S976" t="s">
        <v>102</v>
      </c>
      <c r="T976" t="s">
        <v>116</v>
      </c>
    </row>
    <row r="977" spans="1:20">
      <c r="A977" t="s">
        <v>25</v>
      </c>
      <c r="B977" t="s">
        <v>32</v>
      </c>
      <c r="C977" t="s">
        <v>35</v>
      </c>
      <c r="D977" t="s">
        <v>41</v>
      </c>
      <c r="E977" s="2">
        <v>46034.37366898148</v>
      </c>
      <c r="F977" s="2">
        <v>46034.37394675926</v>
      </c>
      <c r="G977" t="s">
        <v>50</v>
      </c>
      <c r="H977" t="s">
        <v>51</v>
      </c>
      <c r="I977">
        <v>8</v>
      </c>
      <c r="J977">
        <v>8</v>
      </c>
      <c r="K977" t="s">
        <v>53</v>
      </c>
      <c r="L977" t="s">
        <v>62</v>
      </c>
      <c r="M977" t="s">
        <v>71</v>
      </c>
      <c r="N977" t="s">
        <v>74</v>
      </c>
      <c r="O977">
        <v>24</v>
      </c>
      <c r="P977" t="s">
        <v>41</v>
      </c>
      <c r="Q977" t="s">
        <v>84</v>
      </c>
      <c r="R977" t="s">
        <v>88</v>
      </c>
      <c r="S977" t="s">
        <v>102</v>
      </c>
      <c r="T977" t="s">
        <v>116</v>
      </c>
    </row>
    <row r="978" spans="1:20">
      <c r="A978" t="s">
        <v>25</v>
      </c>
      <c r="B978" t="s">
        <v>32</v>
      </c>
      <c r="C978" t="s">
        <v>35</v>
      </c>
      <c r="D978" t="s">
        <v>41</v>
      </c>
      <c r="E978" s="2">
        <v>46034.37394675926</v>
      </c>
      <c r="F978" s="2">
        <v>46034.37452546296</v>
      </c>
      <c r="G978" t="s">
        <v>50</v>
      </c>
      <c r="H978" t="s">
        <v>51</v>
      </c>
      <c r="I978">
        <v>8</v>
      </c>
      <c r="J978">
        <v>8</v>
      </c>
      <c r="K978" t="s">
        <v>53</v>
      </c>
      <c r="L978" t="s">
        <v>62</v>
      </c>
      <c r="M978" t="s">
        <v>71</v>
      </c>
      <c r="N978" t="s">
        <v>74</v>
      </c>
      <c r="O978">
        <v>50</v>
      </c>
      <c r="P978" t="s">
        <v>41</v>
      </c>
      <c r="Q978" t="s">
        <v>84</v>
      </c>
      <c r="R978" t="s">
        <v>88</v>
      </c>
      <c r="S978" t="s">
        <v>102</v>
      </c>
      <c r="T978" t="s">
        <v>116</v>
      </c>
    </row>
    <row r="979" spans="1:20">
      <c r="A979" t="s">
        <v>25</v>
      </c>
      <c r="B979" t="s">
        <v>32</v>
      </c>
      <c r="C979" t="s">
        <v>38</v>
      </c>
      <c r="E979" s="2">
        <v>46034.37452546296</v>
      </c>
      <c r="F979" s="2">
        <v>46034.3746875</v>
      </c>
      <c r="G979" t="s">
        <v>50</v>
      </c>
      <c r="H979" t="s">
        <v>51</v>
      </c>
      <c r="I979">
        <v>8</v>
      </c>
      <c r="J979">
        <v>8</v>
      </c>
      <c r="K979" t="s">
        <v>53</v>
      </c>
      <c r="L979" t="s">
        <v>62</v>
      </c>
      <c r="M979" t="s">
        <v>71</v>
      </c>
      <c r="N979" t="s">
        <v>74</v>
      </c>
      <c r="O979">
        <v>14</v>
      </c>
      <c r="P979" t="s">
        <v>79</v>
      </c>
      <c r="Q979" t="s">
        <v>85</v>
      </c>
      <c r="R979" t="s">
        <v>91</v>
      </c>
      <c r="S979" t="s">
        <v>105</v>
      </c>
      <c r="T979" t="s">
        <v>114</v>
      </c>
    </row>
    <row r="980" spans="1:20">
      <c r="A980" t="s">
        <v>25</v>
      </c>
      <c r="B980" t="s">
        <v>32</v>
      </c>
      <c r="C980" t="s">
        <v>38</v>
      </c>
      <c r="E980" s="2">
        <v>46034.3746875</v>
      </c>
      <c r="F980" s="2">
        <v>46034.375</v>
      </c>
      <c r="G980" t="s">
        <v>50</v>
      </c>
      <c r="H980" t="s">
        <v>51</v>
      </c>
      <c r="I980">
        <v>8</v>
      </c>
      <c r="J980">
        <v>8</v>
      </c>
      <c r="K980" t="s">
        <v>53</v>
      </c>
      <c r="L980" t="s">
        <v>61</v>
      </c>
      <c r="M980" t="s">
        <v>71</v>
      </c>
      <c r="N980" t="s">
        <v>74</v>
      </c>
      <c r="O980">
        <v>27</v>
      </c>
      <c r="P980" t="s">
        <v>79</v>
      </c>
      <c r="Q980" t="s">
        <v>85</v>
      </c>
      <c r="R980" t="s">
        <v>91</v>
      </c>
      <c r="S980" t="s">
        <v>105</v>
      </c>
      <c r="T980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cols>
    <col min="1" max="1" width="30.7109375" customWidth="1"/>
    <col min="2" max="8" width="20.7109375" customWidth="1"/>
  </cols>
  <sheetData>
    <row r="1" spans="1:8">
      <c r="A1" s="3" t="s">
        <v>117</v>
      </c>
      <c r="B1" s="3"/>
      <c r="C1" s="3"/>
      <c r="D1" s="3"/>
      <c r="E1" s="3"/>
      <c r="F1" s="3"/>
      <c r="G1" s="3"/>
      <c r="H1" s="3"/>
    </row>
    <row r="2" spans="1:8">
      <c r="B2" s="4" t="s">
        <v>20</v>
      </c>
      <c r="C2" s="4" t="s">
        <v>23</v>
      </c>
      <c r="D2" s="4" t="s">
        <v>21</v>
      </c>
      <c r="E2" s="4" t="s">
        <v>22</v>
      </c>
      <c r="F2" s="4" t="s">
        <v>25</v>
      </c>
      <c r="G2" s="4" t="s">
        <v>26</v>
      </c>
      <c r="H2" s="4" t="s">
        <v>24</v>
      </c>
    </row>
    <row r="3" spans="1:8">
      <c r="A3" s="4" t="s">
        <v>118</v>
      </c>
      <c r="B3" s="5">
        <f t="array" ref="B3">MIN(IF('DispUEBD_AllRigs'!A2:A980=B2,'DispUEBD_AllRigs'!E2:E980))</f>
        <v>0</v>
      </c>
      <c r="C3" s="5">
        <f t="array" ref="C3">MIN(IF('DispUEBD_AllRigs'!A2:A980=C2,'DispUEBD_AllRigs'!E2:E980))</f>
        <v>0</v>
      </c>
      <c r="D3" s="5">
        <f t="array" ref="D3">MIN(IF('DispUEBD_AllRigs'!A2:A980=D2,'DispUEBD_AllRigs'!E2:E980))</f>
        <v>0</v>
      </c>
      <c r="E3" s="5">
        <f t="array" ref="E3">MIN(IF('DispUEBD_AllRigs'!A2:A980=E2,'DispUEBD_AllRigs'!E2:E980))</f>
        <v>0</v>
      </c>
      <c r="F3" s="5">
        <f t="array" ref="F3">MIN(IF('DispUEBD_AllRigs'!A2:A980=F2,'DispUEBD_AllRigs'!E2:E980))</f>
        <v>0</v>
      </c>
      <c r="G3" s="5">
        <f t="array" ref="G3">MIN(IF('DispUEBD_AllRigs'!A2:A980=G2,'DispUEBD_AllRigs'!E2:E980))</f>
        <v>0</v>
      </c>
      <c r="H3" s="5">
        <f t="array" ref="H3">MIN(IF('DispUEBD_AllRigs'!A2:A980=H2,'DispUEBD_AllRigs'!E2:E980))</f>
        <v>0</v>
      </c>
    </row>
    <row r="4" spans="1:8">
      <c r="A4" s="4" t="s">
        <v>119</v>
      </c>
      <c r="B4" s="5">
        <f t="array" ref="B4">MAX(IF('DispUEBD_AllRigs'!A2:A980=B2,'DispUEBD_AllRigs'!F2:F980))</f>
        <v>0</v>
      </c>
      <c r="C4" s="5">
        <f t="array" ref="C4">MAX(IF('DispUEBD_AllRigs'!A2:A980=C2,'DispUEBD_AllRigs'!F2:F980))</f>
        <v>0</v>
      </c>
      <c r="D4" s="5">
        <f t="array" ref="D4">MAX(IF('DispUEBD_AllRigs'!A2:A980=D2,'DispUEBD_AllRigs'!F2:F980))</f>
        <v>0</v>
      </c>
      <c r="E4" s="5">
        <f t="array" ref="E4">MAX(IF('DispUEBD_AllRigs'!A2:A980=E2,'DispUEBD_AllRigs'!F2:F980))</f>
        <v>0</v>
      </c>
      <c r="F4" s="5">
        <f t="array" ref="F4">MAX(IF('DispUEBD_AllRigs'!A2:A980=F2,'DispUEBD_AllRigs'!F2:F980))</f>
        <v>0</v>
      </c>
      <c r="G4" s="5">
        <f t="array" ref="G4">MAX(IF('DispUEBD_AllRigs'!A2:A980=G2,'DispUEBD_AllRigs'!F2:F980))</f>
        <v>0</v>
      </c>
      <c r="H4" s="5">
        <f t="array" ref="H4">MAX(IF('DispUEBD_AllRigs'!A2:A980=H2,'DispUEBD_AllRigs'!F2:F980))</f>
        <v>0</v>
      </c>
    </row>
    <row r="5" spans="1:8">
      <c r="A5" s="4" t="s">
        <v>120</v>
      </c>
      <c r="B5" s="6">
        <f>SUMIFS('DispUEBD_AllRigs'!O2:O980,'DispUEBD_AllRigs'!A2:A980,B2)/3600</f>
        <v>0</v>
      </c>
      <c r="C5" s="6">
        <f>SUMIFS('DispUEBD_AllRigs'!O2:O980,'DispUEBD_AllRigs'!A2:A980,C2)/3600</f>
        <v>0</v>
      </c>
      <c r="D5" s="6">
        <f>SUMIFS('DispUEBD_AllRigs'!O2:O980,'DispUEBD_AllRigs'!A2:A980,D2)/3600</f>
        <v>0</v>
      </c>
      <c r="E5" s="6">
        <f>SUMIFS('DispUEBD_AllRigs'!O2:O980,'DispUEBD_AllRigs'!A2:A980,E2)/3600</f>
        <v>0</v>
      </c>
      <c r="F5" s="6">
        <f>SUMIFS('DispUEBD_AllRigs'!O2:O980,'DispUEBD_AllRigs'!A2:A980,F2)/3600</f>
        <v>0</v>
      </c>
      <c r="G5" s="6">
        <f>SUMIFS('DispUEBD_AllRigs'!O2:O980,'DispUEBD_AllRigs'!A2:A980,G2)/3600</f>
        <v>0</v>
      </c>
      <c r="H5" s="6">
        <f>SUMIFS('DispUEBD_AllRigs'!O2:O980,'DispUEBD_AllRigs'!A2:A980,H2)/3600</f>
        <v>0</v>
      </c>
    </row>
    <row r="6" spans="1:8">
      <c r="B6" s="7"/>
      <c r="C6" s="7"/>
      <c r="D6" s="7"/>
      <c r="E6" s="7"/>
      <c r="F6" s="7"/>
      <c r="G6" s="7"/>
      <c r="H6" s="7"/>
    </row>
    <row r="7" spans="1:8">
      <c r="A7" s="4" t="s">
        <v>121</v>
      </c>
      <c r="B7" s="6">
        <f>SUMIFS('DispUEBD_AllRigs'!O2:O980,'DispUEBD_AllRigs'!P2:P980,"=106_Efectivo_Perforando",'DispUEBD_AllRigs'!A2:A980,B2)/3600</f>
        <v>0</v>
      </c>
      <c r="C7" s="6">
        <f>SUMIFS('DispUEBD_AllRigs'!O2:O980,'DispUEBD_AllRigs'!P2:P980,"=106_Efectivo_Perforando",'DispUEBD_AllRigs'!A2:A980,C2)/3600</f>
        <v>0</v>
      </c>
      <c r="D7" s="6">
        <f>SUMIFS('DispUEBD_AllRigs'!O2:O980,'DispUEBD_AllRigs'!P2:P980,"=106_Efectivo_Perforando",'DispUEBD_AllRigs'!A2:A980,D2)/3600</f>
        <v>0</v>
      </c>
      <c r="E7" s="6">
        <f>SUMIFS('DispUEBD_AllRigs'!O2:O980,'DispUEBD_AllRigs'!P2:P980,"=106_Efectivo_Perforando",'DispUEBD_AllRigs'!A2:A980,E2)/3600</f>
        <v>0</v>
      </c>
      <c r="F7" s="6">
        <f>SUMIFS('DispUEBD_AllRigs'!O2:O980,'DispUEBD_AllRigs'!P2:P980,"=106_Efectivo_Perforando",'DispUEBD_AllRigs'!A2:A980,F2)/3600</f>
        <v>0</v>
      </c>
      <c r="G7" s="6">
        <f>SUMIFS('DispUEBD_AllRigs'!O2:O980,'DispUEBD_AllRigs'!P2:P980,"=106_Efectivo_Perforando",'DispUEBD_AllRigs'!A2:A980,G2)/3600</f>
        <v>0</v>
      </c>
      <c r="H7" s="6">
        <f>SUMIFS('DispUEBD_AllRigs'!O2:O980,'DispUEBD_AllRigs'!P2:P980,"=106_Efectivo_Perforando",'DispUEBD_AllRigs'!A2:A980,H2)/3600</f>
        <v>0</v>
      </c>
    </row>
    <row r="8" spans="1:8">
      <c r="A8" s="4" t="s">
        <v>122</v>
      </c>
      <c r="B8" s="6">
        <f>SUMIFS('DispUEBD_AllRigs'!O2:O980,'DispUEBD_AllRigs'!Q2:Q980,"=Efectivo",'DispUEBD_AllRigs'!A2:A980,B2)/3600</f>
        <v>0</v>
      </c>
      <c r="C8" s="6">
        <f>SUMIFS('DispUEBD_AllRigs'!O2:O980,'DispUEBD_AllRigs'!Q2:Q980,"=Efectivo",'DispUEBD_AllRigs'!A2:A980,C2)/3600</f>
        <v>0</v>
      </c>
      <c r="D8" s="6">
        <f>SUMIFS('DispUEBD_AllRigs'!O2:O980,'DispUEBD_AllRigs'!Q2:Q980,"=Efectivo",'DispUEBD_AllRigs'!A2:A980,D2)/3600</f>
        <v>0</v>
      </c>
      <c r="E8" s="6">
        <f>SUMIFS('DispUEBD_AllRigs'!O2:O980,'DispUEBD_AllRigs'!Q2:Q980,"=Efectivo",'DispUEBD_AllRigs'!A2:A980,E2)/3600</f>
        <v>0</v>
      </c>
      <c r="F8" s="6">
        <f>SUMIFS('DispUEBD_AllRigs'!O2:O980,'DispUEBD_AllRigs'!Q2:Q980,"=Efectivo",'DispUEBD_AllRigs'!A2:A980,F2)/3600</f>
        <v>0</v>
      </c>
      <c r="G8" s="6">
        <f>SUMIFS('DispUEBD_AllRigs'!O2:O980,'DispUEBD_AllRigs'!Q2:Q980,"=Efectivo",'DispUEBD_AllRigs'!A2:A980,G2)/3600</f>
        <v>0</v>
      </c>
      <c r="H8" s="6">
        <f>SUMIFS('DispUEBD_AllRigs'!O2:O980,'DispUEBD_AllRigs'!Q2:Q980,"=Efectivo",'DispUEBD_AllRigs'!A2:A980,H2)/3600</f>
        <v>0</v>
      </c>
    </row>
    <row r="9" spans="1:8">
      <c r="A9" s="4" t="s">
        <v>123</v>
      </c>
      <c r="B9" s="6">
        <f>SUMIFS('DispUEBD_AllRigs'!O2:O980,'DispUEBD_AllRigs'!Q2:Q980,"=Mantencion",'DispUEBD_AllRigs'!T2:T980,"=Programada",'DispUEBD_AllRigs'!A2:A980,B2)/3600</f>
        <v>0</v>
      </c>
      <c r="C9" s="6">
        <f>SUMIFS('DispUEBD_AllRigs'!O2:O980,'DispUEBD_AllRigs'!Q2:Q980,"=Mantencion",'DispUEBD_AllRigs'!T2:T980,"=Programada",'DispUEBD_AllRigs'!A2:A980,C2)/3600</f>
        <v>0</v>
      </c>
      <c r="D9" s="6">
        <f>SUMIFS('DispUEBD_AllRigs'!O2:O980,'DispUEBD_AllRigs'!Q2:Q980,"=Mantencion",'DispUEBD_AllRigs'!T2:T980,"=Programada",'DispUEBD_AllRigs'!A2:A980,D2)/3600</f>
        <v>0</v>
      </c>
      <c r="E9" s="6">
        <f>SUMIFS('DispUEBD_AllRigs'!O2:O980,'DispUEBD_AllRigs'!Q2:Q980,"=Mantencion",'DispUEBD_AllRigs'!T2:T980,"=Programada",'DispUEBD_AllRigs'!A2:A980,E2)/3600</f>
        <v>0</v>
      </c>
      <c r="F9" s="6">
        <f>SUMIFS('DispUEBD_AllRigs'!O2:O980,'DispUEBD_AllRigs'!Q2:Q980,"=Mantencion",'DispUEBD_AllRigs'!T2:T980,"=Programada",'DispUEBD_AllRigs'!A2:A980,F2)/3600</f>
        <v>0</v>
      </c>
      <c r="G9" s="6">
        <f>SUMIFS('DispUEBD_AllRigs'!O2:O980,'DispUEBD_AllRigs'!Q2:Q980,"=Mantencion",'DispUEBD_AllRigs'!T2:T980,"=Programada",'DispUEBD_AllRigs'!A2:A980,G2)/3600</f>
        <v>0</v>
      </c>
      <c r="H9" s="6">
        <f>SUMIFS('DispUEBD_AllRigs'!O2:O980,'DispUEBD_AllRigs'!Q2:Q980,"=Mantencion",'DispUEBD_AllRigs'!T2:T980,"=Programada",'DispUEBD_AllRigs'!A2:A980,H2)/3600</f>
        <v>0</v>
      </c>
    </row>
    <row r="10" spans="1:8">
      <c r="A10" s="4" t="s">
        <v>124</v>
      </c>
      <c r="B10" s="6">
        <f>SUMIFS('DispUEBD_AllRigs'!O2:O980,'DispUEBD_AllRigs'!Q2:Q980,"=Mantencion",'DispUEBD_AllRigs'!T2:T980,"=No Programada",'DispUEBD_AllRigs'!A2:A980,B2)/3600</f>
        <v>0</v>
      </c>
      <c r="C10" s="6">
        <f>SUMIFS('DispUEBD_AllRigs'!O2:O980,'DispUEBD_AllRigs'!Q2:Q980,"=Mantencion",'DispUEBD_AllRigs'!T2:T980,"=No Programada",'DispUEBD_AllRigs'!A2:A980,C2)/3600</f>
        <v>0</v>
      </c>
      <c r="D10" s="6">
        <f>SUMIFS('DispUEBD_AllRigs'!O2:O980,'DispUEBD_AllRigs'!Q2:Q980,"=Mantencion",'DispUEBD_AllRigs'!T2:T980,"=No Programada",'DispUEBD_AllRigs'!A2:A980,D2)/3600</f>
        <v>0</v>
      </c>
      <c r="E10" s="6">
        <f>SUMIFS('DispUEBD_AllRigs'!O2:O980,'DispUEBD_AllRigs'!Q2:Q980,"=Mantencion",'DispUEBD_AllRigs'!T2:T980,"=No Programada",'DispUEBD_AllRigs'!A2:A980,E2)/3600</f>
        <v>0</v>
      </c>
      <c r="F10" s="6">
        <f>SUMIFS('DispUEBD_AllRigs'!O2:O980,'DispUEBD_AllRigs'!Q2:Q980,"=Mantencion",'DispUEBD_AllRigs'!T2:T980,"=No Programada",'DispUEBD_AllRigs'!A2:A980,F2)/3600</f>
        <v>0</v>
      </c>
      <c r="G10" s="6">
        <f>SUMIFS('DispUEBD_AllRigs'!O2:O980,'DispUEBD_AllRigs'!Q2:Q980,"=Mantencion",'DispUEBD_AllRigs'!T2:T980,"=No Programada",'DispUEBD_AllRigs'!A2:A980,G2)/3600</f>
        <v>0</v>
      </c>
      <c r="H10" s="6">
        <f>SUMIFS('DispUEBD_AllRigs'!O2:O980,'DispUEBD_AllRigs'!Q2:Q980,"=Mantencion",'DispUEBD_AllRigs'!T2:T980,"=No Programada",'DispUEBD_AllRigs'!A2:A980,H2)/3600</f>
        <v>0</v>
      </c>
    </row>
    <row r="11" spans="1:8">
      <c r="A11" s="4" t="s">
        <v>82</v>
      </c>
      <c r="B11" s="6">
        <f>SUMIFS('DispUEBD_AllRigs'!O2:O980,'DispUEBD_AllRigs'!Q2:Q980,"=Reserva",'DispUEBD_AllRigs'!A2:A980,B2)/3600</f>
        <v>0</v>
      </c>
      <c r="C11" s="6">
        <f>SUMIFS('DispUEBD_AllRigs'!O2:O980,'DispUEBD_AllRigs'!Q2:Q980,"=Reserva",'DispUEBD_AllRigs'!A2:A980,C2)/3600</f>
        <v>0</v>
      </c>
      <c r="D11" s="6">
        <f>SUMIFS('DispUEBD_AllRigs'!O2:O980,'DispUEBD_AllRigs'!Q2:Q980,"=Reserva",'DispUEBD_AllRigs'!A2:A980,D2)/3600</f>
        <v>0</v>
      </c>
      <c r="E11" s="6">
        <f>SUMIFS('DispUEBD_AllRigs'!O2:O980,'DispUEBD_AllRigs'!Q2:Q980,"=Reserva",'DispUEBD_AllRigs'!A2:A980,E2)/3600</f>
        <v>0</v>
      </c>
      <c r="F11" s="6">
        <f>SUMIFS('DispUEBD_AllRigs'!O2:O980,'DispUEBD_AllRigs'!Q2:Q980,"=Reserva",'DispUEBD_AllRigs'!A2:A980,F2)/3600</f>
        <v>0</v>
      </c>
      <c r="G11" s="6">
        <f>SUMIFS('DispUEBD_AllRigs'!O2:O980,'DispUEBD_AllRigs'!Q2:Q980,"=Reserva",'DispUEBD_AllRigs'!A2:A980,G2)/3600</f>
        <v>0</v>
      </c>
      <c r="H11" s="6">
        <f>SUMIFS('DispUEBD_AllRigs'!O2:O980,'DispUEBD_AllRigs'!Q2:Q980,"=Reserva",'DispUEBD_AllRigs'!A2:A980,H2)/3600</f>
        <v>0</v>
      </c>
    </row>
    <row r="12" spans="1:8">
      <c r="A12" s="4" t="s">
        <v>125</v>
      </c>
      <c r="B12" s="6">
        <f>SUMIFS('DispUEBD_AllRigs'!O2:O980,'DispUEBD_AllRigs'!Q2:Q980,"=Demora",'DispUEBD_AllRigs'!T2:T980,"=Programada",'DispUEBD_AllRigs'!A2:A980,B2)/3600</f>
        <v>0</v>
      </c>
      <c r="C12" s="6">
        <f>SUMIFS('DispUEBD_AllRigs'!O2:O980,'DispUEBD_AllRigs'!Q2:Q980,"=Demora",'DispUEBD_AllRigs'!T2:T980,"=Programada",'DispUEBD_AllRigs'!A2:A980,C2)/3600</f>
        <v>0</v>
      </c>
      <c r="D12" s="6">
        <f>SUMIFS('DispUEBD_AllRigs'!O2:O980,'DispUEBD_AllRigs'!Q2:Q980,"=Demora",'DispUEBD_AllRigs'!T2:T980,"=Programada",'DispUEBD_AllRigs'!A2:A980,D2)/3600</f>
        <v>0</v>
      </c>
      <c r="E12" s="6">
        <f>SUMIFS('DispUEBD_AllRigs'!O2:O980,'DispUEBD_AllRigs'!Q2:Q980,"=Demora",'DispUEBD_AllRigs'!T2:T980,"=Programada",'DispUEBD_AllRigs'!A2:A980,E2)/3600</f>
        <v>0</v>
      </c>
      <c r="F12" s="6">
        <f>SUMIFS('DispUEBD_AllRigs'!O2:O980,'DispUEBD_AllRigs'!Q2:Q980,"=Demora",'DispUEBD_AllRigs'!T2:T980,"=Programada",'DispUEBD_AllRigs'!A2:A980,F2)/3600</f>
        <v>0</v>
      </c>
      <c r="G12" s="6">
        <f>SUMIFS('DispUEBD_AllRigs'!O2:O980,'DispUEBD_AllRigs'!Q2:Q980,"=Demora",'DispUEBD_AllRigs'!T2:T980,"=Programada",'DispUEBD_AllRigs'!A2:A980,G2)/3600</f>
        <v>0</v>
      </c>
      <c r="H12" s="6">
        <f>SUMIFS('DispUEBD_AllRigs'!O2:O980,'DispUEBD_AllRigs'!Q2:Q980,"=Demora",'DispUEBD_AllRigs'!T2:T980,"=Programada",'DispUEBD_AllRigs'!A2:A980,H2)/3600</f>
        <v>0</v>
      </c>
    </row>
    <row r="13" spans="1:8">
      <c r="A13" s="4" t="s">
        <v>126</v>
      </c>
      <c r="B13" s="6">
        <f>SUMIFS('DispUEBD_AllRigs'!O2:O980,'DispUEBD_AllRigs'!Q2:Q980,"=Demora",'DispUEBD_AllRigs'!T2:T980,"=No Programada",'DispUEBD_AllRigs'!A2:A980,B2)/3600</f>
        <v>0</v>
      </c>
      <c r="C13" s="6">
        <f>SUMIFS('DispUEBD_AllRigs'!O2:O980,'DispUEBD_AllRigs'!Q2:Q980,"=Demora",'DispUEBD_AllRigs'!T2:T980,"=No Programada",'DispUEBD_AllRigs'!A2:A980,C2)/3600</f>
        <v>0</v>
      </c>
      <c r="D13" s="6">
        <f>SUMIFS('DispUEBD_AllRigs'!O2:O980,'DispUEBD_AllRigs'!Q2:Q980,"=Demora",'DispUEBD_AllRigs'!T2:T980,"=No Programada",'DispUEBD_AllRigs'!A2:A980,D2)/3600</f>
        <v>0</v>
      </c>
      <c r="E13" s="6">
        <f>SUMIFS('DispUEBD_AllRigs'!O2:O980,'DispUEBD_AllRigs'!Q2:Q980,"=Demora",'DispUEBD_AllRigs'!T2:T980,"=No Programada",'DispUEBD_AllRigs'!A2:A980,E2)/3600</f>
        <v>0</v>
      </c>
      <c r="F13" s="6">
        <f>SUMIFS('DispUEBD_AllRigs'!O2:O980,'DispUEBD_AllRigs'!Q2:Q980,"=Demora",'DispUEBD_AllRigs'!T2:T980,"=No Programada",'DispUEBD_AllRigs'!A2:A980,F2)/3600</f>
        <v>0</v>
      </c>
      <c r="G13" s="6">
        <f>SUMIFS('DispUEBD_AllRigs'!O2:O980,'DispUEBD_AllRigs'!Q2:Q980,"=Demora",'DispUEBD_AllRigs'!T2:T980,"=No Programada",'DispUEBD_AllRigs'!A2:A980,G2)/3600</f>
        <v>0</v>
      </c>
      <c r="H13" s="6">
        <f>SUMIFS('DispUEBD_AllRigs'!O2:O980,'DispUEBD_AllRigs'!Q2:Q980,"=Demora",'DispUEBD_AllRigs'!T2:T980,"=No Programada",'DispUEBD_AllRigs'!A2:A980,H2)/3600</f>
        <v>0</v>
      </c>
    </row>
    <row r="14" spans="1:8">
      <c r="A14" s="4" t="s">
        <v>127</v>
      </c>
      <c r="B14" s="6">
        <f>SUM(SUMIFS('DispUEBD_AllRigs'!O2:O980,'DispUEBD_AllRigs'!P2:P980,{"276_SN_Marca_Perfor","276_SN_Area_Perfor","315_No_requerido","RS No Requerido"},'DispUEBD_AllRigs'!A2:A980,B2))/3600</f>
        <v>0</v>
      </c>
      <c r="C14" s="6">
        <f>SUM(SUMIFS('DispUEBD_AllRigs'!O2:O980,'DispUEBD_AllRigs'!P2:P980,{"276_SN_Marca_Perfor","276_SN_Area_Perfor","315_No_requerido","RS No Requerido"},'DispUEBD_AllRigs'!A2:A980,C2))/3600</f>
        <v>0</v>
      </c>
      <c r="D14" s="6">
        <f>SUM(SUMIFS('DispUEBD_AllRigs'!O2:O980,'DispUEBD_AllRigs'!P2:P980,{"276_SN_Marca_Perfor","276_SN_Area_Perfor","315_No_requerido","RS No Requerido"},'DispUEBD_AllRigs'!A2:A980,D2))/3600</f>
        <v>0</v>
      </c>
      <c r="E14" s="6">
        <f>SUM(SUMIFS('DispUEBD_AllRigs'!O2:O980,'DispUEBD_AllRigs'!P2:P980,{"276_SN_Marca_Perfor","276_SN_Area_Perfor","315_No_requerido","RS No Requerido"},'DispUEBD_AllRigs'!A2:A980,E2))/3600</f>
        <v>0</v>
      </c>
      <c r="F14" s="6">
        <f>SUM(SUMIFS('DispUEBD_AllRigs'!O2:O980,'DispUEBD_AllRigs'!P2:P980,{"276_SN_Marca_Perfor","276_SN_Area_Perfor","315_No_requerido","RS No Requerido"},'DispUEBD_AllRigs'!A2:A980,F2))/3600</f>
        <v>0</v>
      </c>
      <c r="G14" s="6">
        <f>SUM(SUMIFS('DispUEBD_AllRigs'!O2:O980,'DispUEBD_AllRigs'!P2:P980,{"276_SN_Marca_Perfor","276_SN_Area_Perfor","315_No_requerido","RS No Requerido"},'DispUEBD_AllRigs'!A2:A980,G2))/3600</f>
        <v>0</v>
      </c>
      <c r="H14" s="6">
        <f>SUM(SUMIFS('DispUEBD_AllRigs'!O2:O980,'DispUEBD_AllRigs'!P2:P980,{"276_SN_Marca_Perfor","276_SN_Area_Perfor","315_No_requerido","RS No Requerido"},'DispUEBD_AllRigs'!A2:A980,H2))/3600</f>
        <v>0</v>
      </c>
    </row>
    <row r="15" spans="1:8">
      <c r="B15" s="7"/>
      <c r="C15" s="7"/>
      <c r="D15" s="7"/>
      <c r="E15" s="7"/>
      <c r="F15" s="7"/>
      <c r="G15" s="7"/>
      <c r="H15" s="7"/>
    </row>
    <row r="16" spans="1:8">
      <c r="A16" s="4" t="s">
        <v>128</v>
      </c>
      <c r="B16" s="8">
        <f>(B8+B11+B13+B12)/(B8+B11+B9+B10+B12+B13)</f>
        <v>0</v>
      </c>
      <c r="C16" s="8">
        <f>(C8+C11+C13+C12)/(C8+C11+C9+C10+C12+C13)</f>
        <v>0</v>
      </c>
      <c r="D16" s="8">
        <f>(D8+D11+D13+D12)/(D8+D11+D9+D10+D12+D13)</f>
        <v>0</v>
      </c>
      <c r="E16" s="8">
        <f>(E8+E11+E13+E12)/(E8+E11+E9+E10+E12+E13)</f>
        <v>0</v>
      </c>
      <c r="F16" s="8">
        <f>(F8+F11+F13+F12)/(F8+F11+F9+F10+F12+F13)</f>
        <v>0</v>
      </c>
      <c r="G16" s="8">
        <f>(G8+G11+G13+G12)/(G8+G11+G9+G10+G12+G13)</f>
        <v>0</v>
      </c>
      <c r="H16" s="8">
        <f>(H8+H11+H13+H12)/(H8+H11+H9+H10+H12+H13)</f>
        <v>0</v>
      </c>
    </row>
    <row r="17" spans="1:8">
      <c r="A17" s="4" t="s">
        <v>129</v>
      </c>
      <c r="B17" s="8">
        <f>(B5-B9-B10-SUMIF('DispUEBD_AllRigs'!P2:P980,"=210_Falla_Autonomia",'DispUEBD_AllRigs'!O2:O980)/3600)/(B5-B9-B10)</f>
        <v>0</v>
      </c>
      <c r="C17" s="8">
        <f>(C5-C9-C10-SUMIF('DispUEBD_AllRigs'!P2:P980,"=210_Falla_Autonomia",'DispUEBD_AllRigs'!O2:O980)/3600)/(C5-C9-C10)</f>
        <v>0</v>
      </c>
      <c r="D17" s="8">
        <f>(D5-D9-D10-SUMIF('DispUEBD_AllRigs'!P2:P980,"=210_Falla_Autonomia",'DispUEBD_AllRigs'!O2:O980)/3600)/(D5-D9-D10)</f>
        <v>0</v>
      </c>
      <c r="E17" s="8">
        <f>(E5-E9-E10-SUMIF('DispUEBD_AllRigs'!P2:P980,"=210_Falla_Autonomia",'DispUEBD_AllRigs'!O2:O980)/3600)/(E5-E9-E10)</f>
        <v>0</v>
      </c>
      <c r="F17" s="8">
        <f>(F5-F9-F10-SUMIF('DispUEBD_AllRigs'!P2:P980,"=210_Falla_Autonomia",'DispUEBD_AllRigs'!O2:O980)/3600)/(F5-F9-F10)</f>
        <v>0</v>
      </c>
      <c r="G17" s="8">
        <f>(G5-G9-G10-SUMIF('DispUEBD_AllRigs'!P2:P980,"=210_Falla_Autonomia",'DispUEBD_AllRigs'!O2:O980)/3600)/(G5-G9-G10)</f>
        <v>0</v>
      </c>
      <c r="H17" s="8">
        <f>(H5-H9-H10-SUMIF('DispUEBD_AllRigs'!P2:P980,"=210_Falla_Autonomia",'DispUEBD_AllRigs'!O2:O980)/3600)/(H5-H9-H10)</f>
        <v>0</v>
      </c>
    </row>
    <row r="18" spans="1:8">
      <c r="A18" s="4" t="s">
        <v>130</v>
      </c>
      <c r="B18" s="8">
        <f>B8/(B8+B11+B13+B12)</f>
        <v>0</v>
      </c>
      <c r="C18" s="8">
        <f>C8/(C8+C11+C13+C12)</f>
        <v>0</v>
      </c>
      <c r="D18" s="8">
        <f>D8/(D8+D11+D13+D12)</f>
        <v>0</v>
      </c>
      <c r="E18" s="8">
        <f>E8/(E8+E11+E13+E12)</f>
        <v>0</v>
      </c>
      <c r="F18" s="8">
        <f>F8/(F8+F11+F13+F12)</f>
        <v>0</v>
      </c>
      <c r="G18" s="8">
        <f>G8/(G8+G11+G13+G12)</f>
        <v>0</v>
      </c>
      <c r="H18" s="8">
        <f>H8/(H8+H11+H13+H12)</f>
        <v>0</v>
      </c>
    </row>
    <row r="19" spans="1:8">
      <c r="A19" s="4" t="s">
        <v>131</v>
      </c>
      <c r="B19" s="8">
        <f>B8/(B8+B11+B13+B12-B14)</f>
        <v>0</v>
      </c>
      <c r="C19" s="8">
        <f>C8/(C8+C11+C13+C12-C14)</f>
        <v>0</v>
      </c>
      <c r="D19" s="8">
        <f>D8/(D8+D11+D13+D12-D14)</f>
        <v>0</v>
      </c>
      <c r="E19" s="8">
        <f>E8/(E8+E11+E13+E12-E14)</f>
        <v>0</v>
      </c>
      <c r="F19" s="8">
        <f>F8/(F8+F11+F13+F12-F14)</f>
        <v>0</v>
      </c>
      <c r="G19" s="8">
        <f>G8/(G8+G11+G13+G12-G14)</f>
        <v>0</v>
      </c>
      <c r="H19" s="8">
        <f>H8/(H8+H11+H13+H12-H14)</f>
        <v>0</v>
      </c>
    </row>
    <row r="20" spans="1:8">
      <c r="A20" s="4" t="s">
        <v>132</v>
      </c>
      <c r="B20" s="6">
        <v>0</v>
      </c>
      <c r="C20" s="6">
        <v>0</v>
      </c>
      <c r="D20" s="6">
        <v>4.621944444444445</v>
      </c>
      <c r="E20" s="6">
        <v>0.7830555555555555</v>
      </c>
      <c r="F20" s="6">
        <v>0</v>
      </c>
      <c r="G20" s="6">
        <v>0</v>
      </c>
      <c r="H20" s="6">
        <v>0.2930555555555556</v>
      </c>
    </row>
    <row r="21" spans="1:8">
      <c r="A21" s="4" t="s">
        <v>133</v>
      </c>
      <c r="B21" s="9">
        <v>0</v>
      </c>
      <c r="C21" s="9">
        <v>0</v>
      </c>
      <c r="D21" s="9">
        <v>1</v>
      </c>
      <c r="E21" s="9">
        <v>1</v>
      </c>
      <c r="F21" s="9">
        <v>0</v>
      </c>
      <c r="G21" s="9">
        <v>0</v>
      </c>
      <c r="H21" s="9">
        <v>1</v>
      </c>
    </row>
    <row r="22" spans="1:8">
      <c r="A22" s="4" t="s">
        <v>134</v>
      </c>
      <c r="B22" s="6">
        <f>IF(B21,(B5-B9-B10-B11)/B21,NA())</f>
        <v>0</v>
      </c>
      <c r="C22" s="6">
        <f>IF(C21,(C5-C9-C10-C11)/C21,NA())</f>
        <v>0</v>
      </c>
      <c r="D22" s="6">
        <f>IF(D21,(D5-D9-D10-D11)/D21,NA())</f>
        <v>0</v>
      </c>
      <c r="E22" s="6">
        <f>IF(E21,(E5-E9-E10-E11)/E21,NA())</f>
        <v>0</v>
      </c>
      <c r="F22" s="6">
        <f>IF(F21,(F5-F9-F10-F11)/F21,NA())</f>
        <v>0</v>
      </c>
      <c r="G22" s="6">
        <f>IF(G21,(G5-G9-G10-G11)/G21,NA())</f>
        <v>0</v>
      </c>
      <c r="H22" s="6">
        <f>IF(H21,(H5-H9-H10-H11)/H21,NA())</f>
        <v>0</v>
      </c>
    </row>
    <row r="23" spans="1:8">
      <c r="A23" s="4" t="s">
        <v>135</v>
      </c>
      <c r="B23" s="6">
        <f>IF(B21,B20/B21,NA())</f>
        <v>0</v>
      </c>
      <c r="C23" s="6">
        <f>IF(C21,C20/C21,NA())</f>
        <v>0</v>
      </c>
      <c r="D23" s="6">
        <f>IF(D21,D20/D21,NA())</f>
        <v>0</v>
      </c>
      <c r="E23" s="6">
        <f>IF(E21,E20/E21,NA())</f>
        <v>0</v>
      </c>
      <c r="F23" s="6">
        <f>IF(F21,F20/F21,NA())</f>
        <v>0</v>
      </c>
      <c r="G23" s="6">
        <f>IF(G21,G20/G21,NA())</f>
        <v>0</v>
      </c>
      <c r="H23" s="6">
        <f>IF(H21,H20/H21,NA())</f>
        <v>0</v>
      </c>
    </row>
    <row r="24" spans="1:8">
      <c r="B24" s="7"/>
      <c r="C24" s="7"/>
      <c r="D24" s="7"/>
      <c r="E24" s="7"/>
      <c r="F24" s="7"/>
      <c r="G24" s="7"/>
      <c r="H24" s="7"/>
    </row>
    <row r="25" spans="1:8">
      <c r="A25" s="4" t="s">
        <v>136</v>
      </c>
      <c r="B25" s="9">
        <v>29</v>
      </c>
      <c r="C25" s="9">
        <v>15</v>
      </c>
      <c r="D25" s="9">
        <v>5</v>
      </c>
      <c r="E25" s="9">
        <v>13</v>
      </c>
      <c r="F25" s="9">
        <v>0</v>
      </c>
      <c r="G25" s="9">
        <v>0</v>
      </c>
      <c r="H25" s="9">
        <v>13</v>
      </c>
    </row>
    <row r="26" spans="1:8">
      <c r="A26" s="4" t="s">
        <v>137</v>
      </c>
      <c r="B26" s="9">
        <v>509.652985885429</v>
      </c>
      <c r="C26" s="9">
        <v>255.668305844851</v>
      </c>
      <c r="D26" s="9">
        <v>88.32861327100171</v>
      </c>
      <c r="E26" s="9">
        <v>217.053182603651</v>
      </c>
      <c r="F26" s="9">
        <v>0</v>
      </c>
      <c r="G26" s="9">
        <v>0</v>
      </c>
      <c r="H26" s="9">
        <v>220.7953764587844</v>
      </c>
    </row>
    <row r="27" spans="1:8">
      <c r="B27" s="7"/>
      <c r="C27" s="7"/>
      <c r="D27" s="7"/>
      <c r="E27" s="7"/>
      <c r="F27" s="7"/>
      <c r="G27" s="7"/>
      <c r="H27" s="7"/>
    </row>
    <row r="28" spans="1:8">
      <c r="A28" s="4" t="s">
        <v>138</v>
      </c>
      <c r="B28" s="6">
        <f>IF(B7,B26/B7,NA())</f>
        <v>0</v>
      </c>
      <c r="C28" s="6">
        <f>IF(C7,C26/C7,NA())</f>
        <v>0</v>
      </c>
      <c r="D28" s="6">
        <f>IF(D7,D26/D7,NA())</f>
        <v>0</v>
      </c>
      <c r="E28" s="6">
        <f>IF(E7,E26/E7,NA())</f>
        <v>0</v>
      </c>
      <c r="F28" s="6">
        <f>IF(F7,F26/F7,NA())</f>
        <v>0</v>
      </c>
      <c r="G28" s="6">
        <f>IF(G7,G26/G7,NA())</f>
        <v>0</v>
      </c>
      <c r="H28" s="6">
        <f>IF(H7,H26/H7,NA())</f>
        <v>0</v>
      </c>
    </row>
    <row r="29" spans="1:8">
      <c r="A29" s="4" t="s">
        <v>139</v>
      </c>
      <c r="B29" s="6">
        <f>IF(B8,B26/B8,NA())</f>
        <v>0</v>
      </c>
      <c r="C29" s="6">
        <f>IF(C8,C26/C8,NA())</f>
        <v>0</v>
      </c>
      <c r="D29" s="6">
        <f>IF(D8,D26/D8,NA())</f>
        <v>0</v>
      </c>
      <c r="E29" s="6">
        <f>IF(E8,E26/E8,NA())</f>
        <v>0</v>
      </c>
      <c r="F29" s="6">
        <f>IF(F8,F26/F8,NA())</f>
        <v>0</v>
      </c>
      <c r="G29" s="6">
        <f>IF(G8,G26/G8,NA())</f>
        <v>0</v>
      </c>
      <c r="H29" s="6">
        <f>IF(H8,H26/H8,NA())</f>
        <v>0</v>
      </c>
    </row>
    <row r="30" spans="1:8">
      <c r="B30" s="7"/>
      <c r="C30" s="7"/>
      <c r="D30" s="7"/>
      <c r="E30" s="7"/>
      <c r="F30" s="7"/>
      <c r="G30" s="7"/>
      <c r="H30" s="7"/>
    </row>
    <row r="31" spans="1:8">
      <c r="A31" s="4" t="s">
        <v>140</v>
      </c>
      <c r="B31" s="10">
        <v>76.53103448275861</v>
      </c>
      <c r="C31" s="10">
        <v>34.484</v>
      </c>
      <c r="D31" s="10">
        <v>26.802</v>
      </c>
      <c r="E31" s="10">
        <v>30.29076923076924</v>
      </c>
      <c r="F31" s="10">
        <v>0</v>
      </c>
      <c r="G31" s="10">
        <v>0</v>
      </c>
      <c r="H31" s="10">
        <v>33.85615384615384</v>
      </c>
    </row>
    <row r="32" spans="1:8">
      <c r="A32" s="4" t="s">
        <v>141</v>
      </c>
      <c r="B32" s="10">
        <v>107.5675862068966</v>
      </c>
      <c r="C32" s="10">
        <v>44.776</v>
      </c>
      <c r="D32" s="10">
        <v>26.928</v>
      </c>
      <c r="E32" s="10">
        <v>40.01307692307692</v>
      </c>
      <c r="F32" s="10">
        <v>0</v>
      </c>
      <c r="G32" s="10">
        <v>0</v>
      </c>
      <c r="H32" s="10">
        <v>51.83307692307692</v>
      </c>
    </row>
    <row r="33" spans="1:8">
      <c r="A33" s="4" t="s">
        <v>142</v>
      </c>
      <c r="B33" s="10">
        <v>76.74000000000001</v>
      </c>
      <c r="C33" s="10">
        <v>34.476</v>
      </c>
      <c r="D33" s="10">
        <v>26.808</v>
      </c>
      <c r="E33" s="10">
        <v>30.23076923076924</v>
      </c>
      <c r="F33" s="10">
        <v>0</v>
      </c>
      <c r="G33" s="10">
        <v>0</v>
      </c>
      <c r="H33" s="10">
        <v>32.09076923076923</v>
      </c>
    </row>
    <row r="34" spans="1:8">
      <c r="A34" s="4" t="s">
        <v>143</v>
      </c>
      <c r="B34" s="6">
        <v>86.4481976267966</v>
      </c>
      <c r="C34" s="6">
        <v>124.8081263746682</v>
      </c>
      <c r="D34" s="6">
        <v>0</v>
      </c>
      <c r="E34" s="6">
        <v>116.4240004294102</v>
      </c>
      <c r="F34" s="6">
        <v>0</v>
      </c>
      <c r="G34" s="6">
        <v>0</v>
      </c>
      <c r="H34" s="6">
        <v>140.7059748360304</v>
      </c>
    </row>
    <row r="35" spans="1:8">
      <c r="A35" s="4" t="s">
        <v>144</v>
      </c>
      <c r="B35" s="6">
        <v>65.4410882907852</v>
      </c>
      <c r="C35" s="6">
        <v>77.15639902350316</v>
      </c>
      <c r="D35" s="6">
        <v>0</v>
      </c>
      <c r="E35" s="6">
        <v>68.70589975759393</v>
      </c>
      <c r="F35" s="6">
        <v>0</v>
      </c>
      <c r="G35" s="6">
        <v>0</v>
      </c>
      <c r="H35" s="6">
        <v>61.11618778348679</v>
      </c>
    </row>
    <row r="36" spans="1:8">
      <c r="A36" s="4" t="s">
        <v>145</v>
      </c>
      <c r="B36" s="6">
        <v>90.34674243706992</v>
      </c>
      <c r="C36" s="6">
        <v>134.0821030472549</v>
      </c>
      <c r="D36" s="6">
        <v>0</v>
      </c>
      <c r="E36" s="6">
        <v>125.7956746485017</v>
      </c>
      <c r="F36" s="6">
        <v>0</v>
      </c>
      <c r="G36" s="6">
        <v>0</v>
      </c>
      <c r="H36" s="6">
        <v>157.0842897361873</v>
      </c>
    </row>
    <row r="37" spans="1:8">
      <c r="A37" s="4" t="s">
        <v>146</v>
      </c>
      <c r="B37" s="6">
        <v>88.70664857991213</v>
      </c>
      <c r="C37" s="6">
        <v>86.28878718184777</v>
      </c>
      <c r="D37" s="6">
        <v>94.9195605346147</v>
      </c>
      <c r="E37" s="6">
        <v>99.45461528944627</v>
      </c>
      <c r="F37" s="6">
        <v>0</v>
      </c>
      <c r="G37" s="6">
        <v>0</v>
      </c>
      <c r="H37" s="6">
        <v>89.30829831673314</v>
      </c>
    </row>
    <row r="38" spans="1:8">
      <c r="A38" s="4" t="s">
        <v>147</v>
      </c>
      <c r="B38" s="6">
        <v>63.69273945268199</v>
      </c>
      <c r="C38" s="6">
        <v>36.13627825253334</v>
      </c>
      <c r="D38" s="6">
        <v>44.24013313546667</v>
      </c>
      <c r="E38" s="6">
        <v>44.13151191154167</v>
      </c>
      <c r="F38" s="6">
        <v>0</v>
      </c>
      <c r="G38" s="6">
        <v>0</v>
      </c>
      <c r="H38" s="6">
        <v>41.47321808427485</v>
      </c>
    </row>
    <row r="39" spans="1:8">
      <c r="A39" s="4" t="s">
        <v>148</v>
      </c>
      <c r="B39" s="6">
        <v>93.34056131644071</v>
      </c>
      <c r="C39" s="6">
        <v>96.05991888958951</v>
      </c>
      <c r="D39" s="6">
        <v>104.1948388080856</v>
      </c>
      <c r="E39" s="6">
        <v>110.2442133015819</v>
      </c>
      <c r="F39" s="6">
        <v>0</v>
      </c>
      <c r="G39" s="6">
        <v>0</v>
      </c>
      <c r="H39" s="6">
        <v>99.26005357536025</v>
      </c>
    </row>
    <row r="40" spans="1:8">
      <c r="A40" s="4" t="s">
        <v>149</v>
      </c>
      <c r="B40" s="6">
        <v>95.11940553373634</v>
      </c>
      <c r="C40" s="6">
        <v>88.6448596103896</v>
      </c>
      <c r="D40" s="6">
        <v>96.88350604058364</v>
      </c>
      <c r="E40" s="6">
        <v>96.31460675780821</v>
      </c>
      <c r="F40" s="6">
        <v>0</v>
      </c>
      <c r="G40" s="6">
        <v>0</v>
      </c>
      <c r="H40" s="6">
        <v>100.2844121334404</v>
      </c>
    </row>
    <row r="41" spans="1:8">
      <c r="A41" s="4" t="s">
        <v>150</v>
      </c>
      <c r="B41" s="6">
        <v>89.79355172413793</v>
      </c>
      <c r="C41" s="6">
        <v>77.80845925925927</v>
      </c>
      <c r="D41" s="6">
        <v>79.83704444444444</v>
      </c>
      <c r="E41" s="6">
        <v>85.63908760683761</v>
      </c>
      <c r="F41" s="6">
        <v>0</v>
      </c>
      <c r="G41" s="6">
        <v>0</v>
      </c>
      <c r="H41" s="6">
        <v>83.6515058479532</v>
      </c>
    </row>
    <row r="42" spans="1:8">
      <c r="A42" s="4" t="s">
        <v>151</v>
      </c>
      <c r="B42" s="6">
        <v>96.10222006266767</v>
      </c>
      <c r="C42" s="6">
        <v>90.75258115942029</v>
      </c>
      <c r="D42" s="6">
        <v>99.98073683253303</v>
      </c>
      <c r="E42" s="6">
        <v>98.40500879676981</v>
      </c>
      <c r="F42" s="6">
        <v>0</v>
      </c>
      <c r="G42" s="6">
        <v>0</v>
      </c>
      <c r="H42" s="6">
        <v>103.7330443320907</v>
      </c>
    </row>
    <row r="43" spans="1:8">
      <c r="A43" s="4" t="s">
        <v>152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</row>
    <row r="44" spans="1:8">
      <c r="A44" s="4" t="s">
        <v>153</v>
      </c>
      <c r="B44" s="9">
        <v>0</v>
      </c>
      <c r="C44" s="9">
        <v>0</v>
      </c>
      <c r="D44" s="9">
        <v>5</v>
      </c>
      <c r="E44" s="9">
        <v>0</v>
      </c>
      <c r="F44" s="9">
        <v>0</v>
      </c>
      <c r="G44" s="9">
        <v>0</v>
      </c>
      <c r="H44" s="9">
        <v>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DispUEBD_AllRigs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2026-01-13T14:50:48Z</dcterms:created>
  <dcterms:modified xsi:type="dcterms:W3CDTF">2026-01-13T14:50:48Z</dcterms:modified>
</cp:coreProperties>
</file>